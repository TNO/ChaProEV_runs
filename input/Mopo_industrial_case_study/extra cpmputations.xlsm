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codeName="ThisWorkbook" hidePivotFieldList="1"/>
  <mc:AlternateContent xmlns:mc="http://schemas.openxmlformats.org/markup-compatibility/2006">
    <mc:Choice Requires="x15">
      <x15ac:absPath xmlns:x15ac="http://schemas.microsoft.com/office/spreadsheetml/2010/11/ac" url="https://365tno-my.sharepoint.com/personal/omar_usmani_tno_nl/Documents/Models/ChaProEV/ChaProEV_runs/input/Mopo_industrial_case_study/"/>
    </mc:Choice>
  </mc:AlternateContent>
  <xr:revisionPtr revIDLastSave="659" documentId="8_{0E6D7C2C-5697-472F-A08A-C793AD7D4D8A}" xr6:coauthVersionLast="47" xr6:coauthVersionMax="47" xr10:uidLastSave="{5E9A9CB9-9122-45FF-94AD-1C0BCAE52A6B}"/>
  <bookViews>
    <workbookView xWindow="19110" yWindow="0" windowWidth="19380" windowHeight="21690" tabRatio="877" activeTab="3" xr2:uid="{AD5D13B8-608A-45D0-BF49-1D412D2F6F28}"/>
  </bookViews>
  <sheets>
    <sheet name="Styles" sheetId="194" r:id="rId1"/>
    <sheet name="Explanations" sheetId="149" r:id="rId2"/>
    <sheet name="Definitions" sheetId="197" r:id="rId3"/>
    <sheet name="Assumptions" sheetId="195" r:id="rId4"/>
    <sheet name="Inputs" sheetId="196" r:id="rId5"/>
    <sheet name="Calculations" sheetId="198" r:id="rId6"/>
    <sheet name="Results" sheetId="199" r:id="rId7"/>
    <sheet name="Sources" sheetId="200" r:id="rId8"/>
  </sheets>
  <definedNames>
    <definedName name="_xleta.MATCH" hidden="1" xlm="1">#NAME?</definedName>
    <definedName name="_xleta.N" hidden="1" xlm="1">#NAME?</definedName>
    <definedName name="IC">Definitions!$L$17:$L$25</definedName>
    <definedName name="IC_for_km_coeff">Inputs!$I$44:$I$52</definedName>
    <definedName name="Kilometrage_NL">Inputs!$F$26</definedName>
    <definedName name="Kilometrage_Provinces">Inputs!$F$27:$F$38</definedName>
    <definedName name="Kilometrage_Ratios_province">Inputs!$G$27:$G$38</definedName>
    <definedName name="Kilomterage_matrix_weight_pop">Inputs!$J$44:$U$52</definedName>
    <definedName name="NUT2_to_IC_matrix_population">Definitions!$M$17:$X$25</definedName>
    <definedName name="NUT2_to_IC_matrix_population_BE">Definitions!$M$42:$W$49</definedName>
    <definedName name="NUTS2">Definitions!$M$16:$X$16</definedName>
    <definedName name="One_dwelling_BE">Inputs!$L$70:$L$81</definedName>
    <definedName name="One_dwelling_matrix_BE">Inputs!$J$85:$T$92</definedName>
    <definedName name="One_dwelling_matrix_BE_ref_cell">Inputs!$I$84</definedName>
    <definedName name="One_dwelling_matrix_NL">Inputs!$J$56:$U$64</definedName>
    <definedName name="One_dwelling_matrix_NL_ref_cell">Inputs!$I$55</definedName>
    <definedName name="One_dwelling_NL">Inputs!$L$26:$L$38</definedName>
    <definedName name="Percent_one_dwelling_BE_provinces">Inputs!$M$71:$M$81</definedName>
    <definedName name="Percent_one_dwelling_NL">Inputs!$M$26:$M$38</definedName>
    <definedName name="Percent_one_dwelling_NL_provinces">Inputs!$M$27:$M$38</definedName>
    <definedName name="Percentage_NUTS_IC">Definitions!$M$29:$X$37</definedName>
    <definedName name="Percentage_NUTS_IC_BE">Definitions!$M$54:$W$61</definedName>
    <definedName name="ref_cell_by_pop">Definitions!$L$16</definedName>
    <definedName name="ref_cell_by_pop_BE">Definitions!$L$41</definedName>
    <definedName name="Ref_cell_km_weighted">Inputs!$I$43</definedName>
    <definedName name="Ref_cell_proportion_by_population">Definitions!$L$28</definedName>
    <definedName name="Residential_BE">Inputs!$K$70:$K$81</definedName>
    <definedName name="Residential_NL">Inputs!$K$26:$K$38</definedName>
    <definedName name="Weight_sum_by_pop">Definitions!$Y$17:$Y$25</definedName>
    <definedName name="Weight_sum_by_pop_BE">Definitions!$X$42:$X$49</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40" i="195" l="1"/>
  <c r="R140" i="195"/>
  <c r="S140" i="195"/>
  <c r="T140" i="195"/>
  <c r="U140" i="195"/>
  <c r="Q141" i="195"/>
  <c r="R141" i="195"/>
  <c r="S141" i="195"/>
  <c r="T141" i="195"/>
  <c r="U141" i="195"/>
  <c r="Q142" i="195"/>
  <c r="R142" i="195"/>
  <c r="S142" i="195"/>
  <c r="T142" i="195"/>
  <c r="U142" i="195"/>
  <c r="Q143" i="195"/>
  <c r="R143" i="195"/>
  <c r="S143" i="195"/>
  <c r="T143" i="195"/>
  <c r="U143" i="195"/>
  <c r="Q144" i="195"/>
  <c r="R144" i="195"/>
  <c r="S144" i="195"/>
  <c r="T144" i="195"/>
  <c r="U144" i="195"/>
  <c r="Q145" i="195"/>
  <c r="R145" i="195"/>
  <c r="S145" i="195"/>
  <c r="T145" i="195"/>
  <c r="U145" i="195"/>
  <c r="Q146" i="195"/>
  <c r="R146" i="195"/>
  <c r="S146" i="195"/>
  <c r="T146" i="195"/>
  <c r="U146" i="195"/>
  <c r="Q147" i="195"/>
  <c r="R147" i="195"/>
  <c r="S147" i="195"/>
  <c r="T147" i="195"/>
  <c r="U147" i="195"/>
  <c r="Q148" i="195"/>
  <c r="R148" i="195"/>
  <c r="S148" i="195"/>
  <c r="T148" i="195"/>
  <c r="U148" i="195"/>
  <c r="P141" i="195"/>
  <c r="P142" i="195"/>
  <c r="P143" i="195"/>
  <c r="P144" i="195"/>
  <c r="P145" i="195"/>
  <c r="P146" i="195"/>
  <c r="P147" i="195"/>
  <c r="P148" i="195"/>
  <c r="P140" i="195"/>
  <c r="H147" i="195"/>
  <c r="I147" i="195"/>
  <c r="J147" i="195"/>
  <c r="K147" i="195"/>
  <c r="L147" i="195"/>
  <c r="M147" i="195"/>
  <c r="H141" i="195"/>
  <c r="I141" i="195"/>
  <c r="J141" i="195"/>
  <c r="K141" i="195"/>
  <c r="L141" i="195"/>
  <c r="M141" i="195"/>
  <c r="H142" i="195"/>
  <c r="I142" i="195"/>
  <c r="J142" i="195"/>
  <c r="K142" i="195"/>
  <c r="L142" i="195"/>
  <c r="M142" i="195"/>
  <c r="H143" i="195"/>
  <c r="I143" i="195"/>
  <c r="J143" i="195"/>
  <c r="K143" i="195"/>
  <c r="L143" i="195"/>
  <c r="M143" i="195"/>
  <c r="H144" i="195"/>
  <c r="I144" i="195"/>
  <c r="J144" i="195"/>
  <c r="K144" i="195"/>
  <c r="L144" i="195"/>
  <c r="M144" i="195"/>
  <c r="H145" i="195"/>
  <c r="I145" i="195"/>
  <c r="J145" i="195"/>
  <c r="K145" i="195"/>
  <c r="L145" i="195"/>
  <c r="M145" i="195"/>
  <c r="H146" i="195"/>
  <c r="I146" i="195"/>
  <c r="J146" i="195"/>
  <c r="K146" i="195"/>
  <c r="L146" i="195"/>
  <c r="M146" i="195"/>
  <c r="I140" i="195"/>
  <c r="J140" i="195"/>
  <c r="K140" i="195"/>
  <c r="L140" i="195"/>
  <c r="M140" i="195"/>
  <c r="H140" i="195"/>
  <c r="Q136" i="195"/>
  <c r="R136" i="195"/>
  <c r="S136" i="195"/>
  <c r="T136" i="195"/>
  <c r="U136" i="195"/>
  <c r="P136" i="195"/>
  <c r="I136" i="195"/>
  <c r="J136" i="195"/>
  <c r="K136" i="195"/>
  <c r="L136" i="195"/>
  <c r="M136" i="195"/>
  <c r="H136" i="195"/>
  <c r="Q126" i="195" a="1"/>
  <c r="Q126" i="195" s="1"/>
  <c r="R126" i="195" a="1"/>
  <c r="R126" i="195" s="1"/>
  <c r="S126" i="195" a="1"/>
  <c r="S126" i="195" s="1"/>
  <c r="T126" i="195" a="1"/>
  <c r="T126" i="195" s="1"/>
  <c r="U126" i="195" a="1"/>
  <c r="U126" i="195" s="1"/>
  <c r="Q127" i="195" a="1"/>
  <c r="Q127" i="195" s="1"/>
  <c r="R127" i="195" a="1"/>
  <c r="R127" i="195" s="1"/>
  <c r="S127" i="195" a="1"/>
  <c r="S127" i="195"/>
  <c r="T127" i="195" a="1"/>
  <c r="T127" i="195" s="1"/>
  <c r="U127" i="195" a="1"/>
  <c r="U127" i="195" s="1"/>
  <c r="Q128" i="195" a="1"/>
  <c r="Q128" i="195" s="1"/>
  <c r="R128" i="195" a="1"/>
  <c r="R128" i="195" s="1"/>
  <c r="S128" i="195" a="1"/>
  <c r="S128" i="195" s="1"/>
  <c r="T128" i="195" a="1"/>
  <c r="T128" i="195" s="1"/>
  <c r="U128" i="195" a="1"/>
  <c r="U128" i="195" s="1"/>
  <c r="Q129" i="195" a="1"/>
  <c r="Q129" i="195"/>
  <c r="R129" i="195" a="1"/>
  <c r="R129" i="195" s="1"/>
  <c r="S129" i="195" a="1"/>
  <c r="S129" i="195" s="1"/>
  <c r="T129" i="195" a="1"/>
  <c r="T129" i="195" s="1"/>
  <c r="U129" i="195" a="1"/>
  <c r="U129" i="195" s="1"/>
  <c r="Q130" i="195" a="1"/>
  <c r="Q130" i="195" s="1"/>
  <c r="R130" i="195" a="1"/>
  <c r="R130" i="195" s="1"/>
  <c r="S130" i="195" a="1"/>
  <c r="S130" i="195" s="1"/>
  <c r="T130" i="195" a="1"/>
  <c r="T130" i="195"/>
  <c r="U130" i="195" a="1"/>
  <c r="U130" i="195" s="1"/>
  <c r="Q131" i="195" a="1"/>
  <c r="Q131" i="195" s="1"/>
  <c r="R131" i="195" a="1"/>
  <c r="R131" i="195" s="1"/>
  <c r="S131" i="195" a="1"/>
  <c r="S131" i="195" s="1"/>
  <c r="T131" i="195" a="1"/>
  <c r="T131" i="195" s="1"/>
  <c r="U131" i="195" a="1"/>
  <c r="U131" i="195" s="1"/>
  <c r="Q132" i="195" a="1"/>
  <c r="Q132" i="195" s="1"/>
  <c r="R132" i="195" a="1"/>
  <c r="R132" i="195"/>
  <c r="S132" i="195" a="1"/>
  <c r="S132" i="195" s="1"/>
  <c r="T132" i="195" a="1"/>
  <c r="T132" i="195" s="1"/>
  <c r="U132" i="195" a="1"/>
  <c r="U132" i="195" s="1"/>
  <c r="Q133" i="195" a="1"/>
  <c r="Q133" i="195" s="1"/>
  <c r="R133" i="195" a="1"/>
  <c r="R133" i="195" s="1"/>
  <c r="S133" i="195" a="1"/>
  <c r="S133" i="195" s="1"/>
  <c r="T133" i="195" a="1"/>
  <c r="T133" i="195" s="1"/>
  <c r="U133" i="195" a="1"/>
  <c r="U133" i="195" s="1"/>
  <c r="Q134" i="195" a="1"/>
  <c r="Q134" i="195" s="1"/>
  <c r="R134" i="195" a="1"/>
  <c r="R134" i="195" s="1"/>
  <c r="S134" i="195" a="1"/>
  <c r="S134" i="195" s="1"/>
  <c r="T134" i="195" a="1"/>
  <c r="T134" i="195" s="1"/>
  <c r="U134" i="195" a="1"/>
  <c r="U134" i="195" s="1"/>
  <c r="P127" i="195" a="1"/>
  <c r="P127" i="195" s="1"/>
  <c r="P128" i="195" a="1"/>
  <c r="P128" i="195" s="1"/>
  <c r="P129" i="195" a="1"/>
  <c r="P129" i="195" s="1"/>
  <c r="P130" i="195" a="1"/>
  <c r="P130" i="195" s="1"/>
  <c r="P131" i="195" a="1"/>
  <c r="P131" i="195" s="1"/>
  <c r="P132" i="195" a="1"/>
  <c r="P132" i="195" s="1"/>
  <c r="P133" i="195" a="1"/>
  <c r="P133" i="195" s="1"/>
  <c r="P134" i="195" a="1"/>
  <c r="P134" i="195" s="1"/>
  <c r="P126" i="195" a="1"/>
  <c r="P126" i="195" s="1"/>
  <c r="I126" i="195" a="1"/>
  <c r="I126" i="195" s="1"/>
  <c r="J126" i="195" a="1"/>
  <c r="J126" i="195" s="1"/>
  <c r="K126" i="195" a="1"/>
  <c r="K126" i="195" s="1"/>
  <c r="L126" i="195" a="1"/>
  <c r="L126" i="195" s="1"/>
  <c r="M126" i="195" a="1"/>
  <c r="M126" i="195" s="1"/>
  <c r="I127" i="195" a="1"/>
  <c r="I127" i="195" s="1"/>
  <c r="J127" i="195" a="1"/>
  <c r="J127" i="195"/>
  <c r="K127" i="195" a="1"/>
  <c r="K127" i="195" s="1"/>
  <c r="L127" i="195" a="1"/>
  <c r="L127" i="195" s="1"/>
  <c r="M127" i="195" a="1"/>
  <c r="M127" i="195" s="1"/>
  <c r="I128" i="195" a="1"/>
  <c r="I128" i="195" s="1"/>
  <c r="J128" i="195" a="1"/>
  <c r="J128" i="195" s="1"/>
  <c r="K128" i="195" a="1"/>
  <c r="K128" i="195" s="1"/>
  <c r="L128" i="195" a="1"/>
  <c r="L128" i="195" s="1"/>
  <c r="M128" i="195" a="1"/>
  <c r="M128" i="195"/>
  <c r="I129" i="195" a="1"/>
  <c r="I129" i="195" s="1"/>
  <c r="J129" i="195" a="1"/>
  <c r="J129" i="195" s="1"/>
  <c r="K129" i="195" a="1"/>
  <c r="K129" i="195" s="1"/>
  <c r="L129" i="195" a="1"/>
  <c r="L129" i="195" s="1"/>
  <c r="M129" i="195" a="1"/>
  <c r="M129" i="195" s="1"/>
  <c r="I130" i="195" a="1"/>
  <c r="I130" i="195" s="1"/>
  <c r="J130" i="195" a="1"/>
  <c r="J130" i="195" s="1"/>
  <c r="K130" i="195" a="1"/>
  <c r="K130" i="195"/>
  <c r="L130" i="195" a="1"/>
  <c r="L130" i="195" s="1"/>
  <c r="M130" i="195" a="1"/>
  <c r="M130" i="195" s="1"/>
  <c r="I131" i="195" a="1"/>
  <c r="I131" i="195" s="1"/>
  <c r="J131" i="195" a="1"/>
  <c r="J131" i="195" s="1"/>
  <c r="K131" i="195" a="1"/>
  <c r="K131" i="195" s="1"/>
  <c r="L131" i="195" a="1"/>
  <c r="L131" i="195" s="1"/>
  <c r="M131" i="195" a="1"/>
  <c r="M131" i="195" s="1"/>
  <c r="I132" i="195" a="1"/>
  <c r="I132" i="195" s="1"/>
  <c r="J132" i="195" a="1"/>
  <c r="J132" i="195" s="1"/>
  <c r="K132" i="195" a="1"/>
  <c r="K132" i="195" s="1"/>
  <c r="L132" i="195" a="1"/>
  <c r="L132" i="195" s="1"/>
  <c r="M132" i="195" a="1"/>
  <c r="M132" i="195" s="1"/>
  <c r="I133" i="195" a="1"/>
  <c r="I133" i="195" s="1"/>
  <c r="J133" i="195" a="1"/>
  <c r="J133" i="195" s="1"/>
  <c r="K133" i="195" a="1"/>
  <c r="K133" i="195" s="1"/>
  <c r="L133" i="195" a="1"/>
  <c r="L133" i="195" s="1"/>
  <c r="M133" i="195" a="1"/>
  <c r="M133" i="195" s="1"/>
  <c r="H127" i="195" a="1"/>
  <c r="H127" i="195" s="1"/>
  <c r="H128" i="195" a="1"/>
  <c r="H128" i="195" s="1"/>
  <c r="H129" i="195" a="1"/>
  <c r="H129" i="195" s="1"/>
  <c r="H130" i="195" a="1"/>
  <c r="H130" i="195" s="1"/>
  <c r="H131" i="195" a="1"/>
  <c r="H131" i="195" s="1"/>
  <c r="H132" i="195" a="1"/>
  <c r="H132" i="195" s="1"/>
  <c r="H133" i="195" a="1"/>
  <c r="H133" i="195" s="1"/>
  <c r="H126" i="195" a="1"/>
  <c r="H126" i="195" s="1"/>
  <c r="M109" i="195" a="1"/>
  <c r="M109" i="195" s="1"/>
  <c r="L109" i="195" a="1"/>
  <c r="L109" i="195" s="1"/>
  <c r="H110" i="195"/>
  <c r="I110" i="195"/>
  <c r="J110" i="195"/>
  <c r="K110" i="195"/>
  <c r="H111" i="195"/>
  <c r="I111" i="195"/>
  <c r="J111" i="195"/>
  <c r="K111" i="195"/>
  <c r="H112" i="195"/>
  <c r="I112" i="195"/>
  <c r="J112" i="195"/>
  <c r="K112" i="195"/>
  <c r="H113" i="195"/>
  <c r="I113" i="195"/>
  <c r="J113" i="195"/>
  <c r="K113" i="195"/>
  <c r="H114" i="195"/>
  <c r="I114" i="195"/>
  <c r="J114" i="195"/>
  <c r="K114" i="195"/>
  <c r="H115" i="195"/>
  <c r="I115" i="195"/>
  <c r="J115" i="195"/>
  <c r="K115" i="195"/>
  <c r="H116" i="195"/>
  <c r="I116" i="195"/>
  <c r="J116" i="195"/>
  <c r="K116" i="195"/>
  <c r="H117" i="195"/>
  <c r="I117" i="195"/>
  <c r="J117" i="195"/>
  <c r="K117" i="195"/>
  <c r="H118" i="195"/>
  <c r="I118" i="195"/>
  <c r="J118" i="195"/>
  <c r="K118" i="195"/>
  <c r="H119" i="195"/>
  <c r="I119" i="195"/>
  <c r="J119" i="195"/>
  <c r="K119" i="195"/>
  <c r="K109" i="195"/>
  <c r="J109" i="195"/>
  <c r="I109" i="195"/>
  <c r="H109" i="195"/>
  <c r="K100" i="195"/>
  <c r="J100" i="195"/>
  <c r="I100" i="195"/>
  <c r="H100" i="195"/>
  <c r="K99" i="195"/>
  <c r="J99" i="195"/>
  <c r="I99" i="195"/>
  <c r="H99" i="195"/>
  <c r="K98" i="195"/>
  <c r="J98" i="195"/>
  <c r="I98" i="195"/>
  <c r="H98" i="195"/>
  <c r="K97" i="195"/>
  <c r="J97" i="195"/>
  <c r="I97" i="195"/>
  <c r="H97" i="195"/>
  <c r="K96" i="195"/>
  <c r="J96" i="195"/>
  <c r="I96" i="195"/>
  <c r="H96" i="195"/>
  <c r="K95" i="195"/>
  <c r="J95" i="195"/>
  <c r="I95" i="195"/>
  <c r="H95" i="195"/>
  <c r="K94" i="195"/>
  <c r="J94" i="195"/>
  <c r="I94" i="195"/>
  <c r="H94" i="195"/>
  <c r="K93" i="195"/>
  <c r="J93" i="195"/>
  <c r="I93" i="195"/>
  <c r="H93" i="195"/>
  <c r="K92" i="195"/>
  <c r="J92" i="195"/>
  <c r="I92" i="195"/>
  <c r="H92" i="195"/>
  <c r="K91" i="195"/>
  <c r="J91" i="195"/>
  <c r="I91" i="195"/>
  <c r="H91" i="195"/>
  <c r="K90" i="195"/>
  <c r="J90" i="195"/>
  <c r="I90" i="195"/>
  <c r="H90" i="195"/>
  <c r="R111" i="195"/>
  <c r="S114" i="195"/>
  <c r="R115" i="195"/>
  <c r="P116" i="195"/>
  <c r="S116" i="195"/>
  <c r="R117" i="195"/>
  <c r="S118" i="195"/>
  <c r="R119" i="195"/>
  <c r="P120" i="195"/>
  <c r="S120" i="195"/>
  <c r="S109" i="195"/>
  <c r="Q78" i="195"/>
  <c r="Q77" i="195"/>
  <c r="Q91" i="195" s="1"/>
  <c r="Q110" i="195" s="1"/>
  <c r="P91" i="195"/>
  <c r="P110" i="195" s="1"/>
  <c r="R91" i="195"/>
  <c r="R110" i="195" s="1"/>
  <c r="S91" i="195"/>
  <c r="S110" i="195" s="1"/>
  <c r="P92" i="195"/>
  <c r="P111" i="195" s="1"/>
  <c r="Q92" i="195"/>
  <c r="Q111" i="195" s="1"/>
  <c r="R92" i="195"/>
  <c r="S92" i="195"/>
  <c r="S111" i="195" s="1"/>
  <c r="P93" i="195"/>
  <c r="P112" i="195" s="1"/>
  <c r="Q93" i="195"/>
  <c r="Q112" i="195" s="1"/>
  <c r="R93" i="195"/>
  <c r="R112" i="195" s="1"/>
  <c r="S93" i="195"/>
  <c r="S112" i="195" s="1"/>
  <c r="P94" i="195"/>
  <c r="P113" i="195" s="1"/>
  <c r="Q94" i="195"/>
  <c r="Q113" i="195" s="1"/>
  <c r="R94" i="195"/>
  <c r="R113" i="195" s="1"/>
  <c r="S94" i="195"/>
  <c r="S113" i="195" s="1"/>
  <c r="P95" i="195"/>
  <c r="P114" i="195" s="1"/>
  <c r="Q95" i="195"/>
  <c r="Q114" i="195" s="1"/>
  <c r="R95" i="195"/>
  <c r="R114" i="195" s="1"/>
  <c r="S95" i="195"/>
  <c r="P96" i="195"/>
  <c r="P115" i="195" s="1"/>
  <c r="Q96" i="195"/>
  <c r="Q115" i="195" s="1"/>
  <c r="R96" i="195"/>
  <c r="S96" i="195"/>
  <c r="S115" i="195" s="1"/>
  <c r="P97" i="195"/>
  <c r="Q97" i="195"/>
  <c r="Q116" i="195" s="1"/>
  <c r="R97" i="195"/>
  <c r="R116" i="195" s="1"/>
  <c r="S97" i="195"/>
  <c r="P98" i="195"/>
  <c r="P117" i="195" s="1"/>
  <c r="Q98" i="195"/>
  <c r="Q117" i="195" s="1"/>
  <c r="R98" i="195"/>
  <c r="S98" i="195"/>
  <c r="S117" i="195" s="1"/>
  <c r="P99" i="195"/>
  <c r="P118" i="195" s="1"/>
  <c r="Q99" i="195"/>
  <c r="Q118" i="195" s="1"/>
  <c r="R99" i="195"/>
  <c r="R118" i="195" s="1"/>
  <c r="S99" i="195"/>
  <c r="P100" i="195"/>
  <c r="P119" i="195" s="1"/>
  <c r="Q100" i="195"/>
  <c r="Q119" i="195" s="1"/>
  <c r="R100" i="195"/>
  <c r="S100" i="195"/>
  <c r="S119" i="195" s="1"/>
  <c r="P101" i="195"/>
  <c r="Q101" i="195"/>
  <c r="Q120" i="195" s="1"/>
  <c r="R101" i="195"/>
  <c r="R120" i="195" s="1"/>
  <c r="S101" i="195"/>
  <c r="Q90" i="195"/>
  <c r="Q109" i="195" s="1"/>
  <c r="R90" i="195"/>
  <c r="R109" i="195" s="1"/>
  <c r="S90" i="195"/>
  <c r="P90" i="195"/>
  <c r="P109" i="195" s="1"/>
  <c r="T137" i="195" l="1"/>
  <c r="R137" i="195"/>
  <c r="U137" i="195"/>
  <c r="S137" i="195"/>
  <c r="Q137" i="195"/>
  <c r="P137" i="195"/>
  <c r="L137" i="195"/>
  <c r="J137" i="195"/>
  <c r="M137" i="195"/>
  <c r="K137" i="195"/>
  <c r="I137" i="195"/>
  <c r="H137" i="195"/>
  <c r="U109" i="195" a="1"/>
  <c r="U109" i="195" s="1"/>
  <c r="T109" i="195" a="1"/>
  <c r="T109" i="195" s="1"/>
  <c r="U86" i="196" l="1"/>
  <c r="U87" i="196"/>
  <c r="U88" i="196"/>
  <c r="U89" i="196"/>
  <c r="U90" i="196"/>
  <c r="U91" i="196"/>
  <c r="U92" i="196"/>
  <c r="U85" i="196"/>
  <c r="J85" i="196" a="1"/>
  <c r="J85" i="196" s="1"/>
  <c r="M70" i="196" a="1"/>
  <c r="M70" i="196" s="1"/>
  <c r="X43" i="197" a="1"/>
  <c r="X43" i="197" s="1"/>
  <c r="X44" i="197" a="1"/>
  <c r="X44" i="197" s="1"/>
  <c r="X45" i="197" a="1"/>
  <c r="X45" i="197" s="1"/>
  <c r="X46" i="197" a="1"/>
  <c r="X46" i="197" s="1"/>
  <c r="X47" i="197" a="1"/>
  <c r="X47" i="197" s="1"/>
  <c r="X48" i="197" a="1"/>
  <c r="X48" i="197" s="1"/>
  <c r="X49" i="197" a="1"/>
  <c r="X49" i="197" s="1"/>
  <c r="X42" i="197" a="1"/>
  <c r="X42" i="197" s="1"/>
  <c r="I56" i="196" a="1"/>
  <c r="I56" i="196" s="1"/>
  <c r="M26" i="196" a="1"/>
  <c r="M26" i="196" s="1"/>
  <c r="J27" i="196" a="1"/>
  <c r="J27" i="196" s="1"/>
  <c r="M54" i="197" l="1" a="1"/>
  <c r="M54" i="197" s="1"/>
  <c r="I44" i="196" a="1"/>
  <c r="I44" i="196" s="1"/>
  <c r="Y17" i="197"/>
  <c r="Y18" i="197"/>
  <c r="Y19" i="197"/>
  <c r="Y20" i="197"/>
  <c r="Y21" i="197"/>
  <c r="Y22" i="197"/>
  <c r="Y23" i="197"/>
  <c r="Y24" i="197"/>
  <c r="Y25" i="197"/>
  <c r="E27" i="196" a="1"/>
  <c r="E27" i="196" s="1"/>
  <c r="G27" i="196" a="1"/>
  <c r="G27" i="196" s="1"/>
  <c r="M29" i="197" l="1" a="1"/>
  <c r="M29" i="197" s="1"/>
  <c r="J44" i="196" l="1" a="1"/>
  <c r="J44" i="196" s="1"/>
  <c r="V44" i="196" s="1"/>
  <c r="J56" i="196" a="1"/>
  <c r="V51" i="196" l="1"/>
  <c r="V52" i="196"/>
  <c r="V50" i="196"/>
  <c r="V49" i="196"/>
  <c r="V48" i="196"/>
  <c r="V47" i="196"/>
  <c r="V46" i="196"/>
  <c r="V45" i="196"/>
  <c r="J56" i="196"/>
  <c r="V56" i="196" s="1"/>
  <c r="V63" i="196"/>
  <c r="V57" i="196"/>
  <c r="V58" i="196"/>
  <c r="V60" i="196"/>
  <c r="V59" i="196"/>
  <c r="V61" i="196"/>
  <c r="V64" i="196"/>
  <c r="V62" i="19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<sst xmlns="http://schemas.openxmlformats.org/spreadsheetml/2006/main" count="862" uniqueCount="157">
  <si>
    <t>Explanations: These blocks provide with explanations about the document. They function as comments/a guide</t>
  </si>
  <si>
    <t>Inputs: These blocks contain input data (typically from an external source). Should be updated if new data is available</t>
  </si>
  <si>
    <t>Definitions: These blocks contains names as well as conversion factors. Conversion factors should not change (unless there are errors), names can be changed if the user wants to rename a variant, for example. This will propagate through the workbook.</t>
  </si>
  <si>
    <t>Calculations: Use formulas to compute something. Should not be changed, unless there are errors, or to add features to the model</t>
  </si>
  <si>
    <t>Results: End results are displayed in these blocks</t>
  </si>
  <si>
    <t>Assumptions: These are the elements defining the problem to be solved. These are meant to be changed by the user, so that they can see what a change in assumptions means for the end results.</t>
  </si>
  <si>
    <t>Headers: These blocks contain headers of tables (names of variants or of group members, or years, for example). These should not be changed, as they are taken from definitions (in most cases) and should be changed there, if desired.</t>
  </si>
  <si>
    <t>Sources: These cells should be placed next to the data. They provide a source for it, which can be a link. If there are many sources, or need some explanations, they can refer to a summary table, in a separate sources sheet (an example is provided there).</t>
  </si>
  <si>
    <t>Key</t>
  </si>
  <si>
    <t>Source</t>
  </si>
  <si>
    <t>Quality</t>
  </si>
  <si>
    <t>Comments</t>
  </si>
  <si>
    <t>Place your sources here if you have many. You can use keys to refer to them (e.g. [1],[2],[3], etc.). You can also make a link back to the data on the key. They keys in the references next to the data should link to the right row in the table.</t>
  </si>
  <si>
    <t>Sources</t>
  </si>
  <si>
    <t>Explanations</t>
  </si>
  <si>
    <t>Headers</t>
  </si>
  <si>
    <t>Assumptions</t>
  </si>
  <si>
    <t>Inputs</t>
  </si>
  <si>
    <t>Calculations</t>
  </si>
  <si>
    <t>Definitions</t>
  </si>
  <si>
    <t>Results</t>
  </si>
  <si>
    <t>Cell style</t>
  </si>
  <si>
    <t xml:space="preserve">Explanation </t>
  </si>
  <si>
    <t>Background</t>
  </si>
  <si>
    <t>Explain and document your model here</t>
  </si>
  <si>
    <t>Put your assumptions here. These are the elements defining the problem to be solved. These are meant to be changed by the user, so that they can see what a change in assumptions means for the end results.</t>
  </si>
  <si>
    <t>Put your inputs here (typically from an external source). Should be updated if new data is available</t>
  </si>
  <si>
    <t>Put your definitions here, including  names and as conversion factors. Conversion factors should not change (unless there are errors), names can be changed if the user wants to rename a variant, for example. This will propagate through the workbook.</t>
  </si>
  <si>
    <t>Put your calculations/formulas here</t>
  </si>
  <si>
    <t>Put your results here</t>
  </si>
  <si>
    <t>Groningen</t>
  </si>
  <si>
    <t>Drenthe</t>
  </si>
  <si>
    <t>Overijssel</t>
  </si>
  <si>
    <t>Flevoland</t>
  </si>
  <si>
    <t>Gelderland</t>
  </si>
  <si>
    <t>Noord-Holland</t>
  </si>
  <si>
    <t>Zeeland</t>
  </si>
  <si>
    <t>Noord-Brabant</t>
  </si>
  <si>
    <t>Kilometrage (km)</t>
  </si>
  <si>
    <t xml:space="preserve">NUTS2 </t>
  </si>
  <si>
    <t>Province</t>
  </si>
  <si>
    <t>StatLine - Mobiliteit; per persoon, persoonskenmerken, vervoerwijzen en regio's</t>
  </si>
  <si>
    <t>Nederland</t>
  </si>
  <si>
    <t>Groningen (PV)</t>
  </si>
  <si>
    <t>Fryslân (PV)</t>
  </si>
  <si>
    <t>Drenthe (PV)</t>
  </si>
  <si>
    <t>Overijssel (PV)</t>
  </si>
  <si>
    <t>Flevoland (PV)</t>
  </si>
  <si>
    <t>Gelderland (PV)</t>
  </si>
  <si>
    <t>Utrecht (PV)</t>
  </si>
  <si>
    <t>Noord-Holland (PV)</t>
  </si>
  <si>
    <t>Zuid-Holland (PV)</t>
  </si>
  <si>
    <t>Zeeland (PV)</t>
  </si>
  <si>
    <t>Noord-Brabant (PV)</t>
  </si>
  <si>
    <t>Limburg (PV)</t>
  </si>
  <si>
    <t>Ratio</t>
  </si>
  <si>
    <t>BE21</t>
  </si>
  <si>
    <t>BEALB</t>
  </si>
  <si>
    <t>BE22</t>
  </si>
  <si>
    <t>BEANT</t>
  </si>
  <si>
    <t>BE23</t>
  </si>
  <si>
    <t>BE10</t>
  </si>
  <si>
    <t>BEBRU</t>
  </si>
  <si>
    <t>BE24</t>
  </si>
  <si>
    <t>BE31</t>
  </si>
  <si>
    <t>BECHA</t>
  </si>
  <si>
    <t>BE32</t>
  </si>
  <si>
    <t>BE35</t>
  </si>
  <si>
    <t>BEFLA</t>
  </si>
  <si>
    <t>BE25</t>
  </si>
  <si>
    <t>BEGHE</t>
  </si>
  <si>
    <t>BEHAI</t>
  </si>
  <si>
    <t>BE33</t>
  </si>
  <si>
    <t>BELIE</t>
  </si>
  <si>
    <t>BE34</t>
  </si>
  <si>
    <t>NL42</t>
  </si>
  <si>
    <t>NLCHE</t>
  </si>
  <si>
    <t>NL21</t>
  </si>
  <si>
    <t>NLEAS</t>
  </si>
  <si>
    <t>NL22</t>
  </si>
  <si>
    <t>NL23</t>
  </si>
  <si>
    <t>NL11</t>
  </si>
  <si>
    <t>NLEEM</t>
  </si>
  <si>
    <t>NL13</t>
  </si>
  <si>
    <t>NL32</t>
  </si>
  <si>
    <t>NLNOO</t>
  </si>
  <si>
    <t>NL12</t>
  </si>
  <si>
    <t>NLNOR</t>
  </si>
  <si>
    <t>NL33</t>
  </si>
  <si>
    <t>NLROT</t>
  </si>
  <si>
    <t>NL41</t>
  </si>
  <si>
    <t>NLSOU</t>
  </si>
  <si>
    <t>NL31</t>
  </si>
  <si>
    <t>NLWES</t>
  </si>
  <si>
    <t>NL34</t>
  </si>
  <si>
    <t>NLZEE</t>
  </si>
  <si>
    <t>NUTS2</t>
  </si>
  <si>
    <t>IC1</t>
  </si>
  <si>
    <t>Area</t>
  </si>
  <si>
    <t>Population</t>
  </si>
  <si>
    <t>By population</t>
  </si>
  <si>
    <t>Proportion by population</t>
  </si>
  <si>
    <t>Sum</t>
  </si>
  <si>
    <t>Total</t>
  </si>
  <si>
    <t>Kilometrage coefficients weighted by population</t>
  </si>
  <si>
    <t>No source found for Belgium by province, but it seems much more contant than NL (or other places): https://view.officeapps.live.com/op/view.aspx?src=https%3A%2F%2Fec.europa.eu%2Feurostat%2Fstatistics-explained%2Fimages%2F6%2F6b%2F201002_AHM2019_Commuting_time-update.xls&amp;wdOrigin=BROWSELINK https://ec.europa.eu/eurostat/statistics-explained/index.php?title=Main_place_of_work_and_commuting_time_-_statistics#:~:text=Finally,%20for%20commuters%20in%20Belgium,those%20living%20in%20rural%20areas.</t>
  </si>
  <si>
    <t>Private households by degree of urbanisation and NUTS 2 region</t>
  </si>
  <si>
    <t>[cens_21dwbo_r2] Dwellings by type of building, ownership status and NUTS 2 region</t>
  </si>
  <si>
    <t>BUILDING (Labels)</t>
  </si>
  <si>
    <t/>
  </si>
  <si>
    <t>Residential buildings</t>
  </si>
  <si>
    <t>One-dwelling residential buildings</t>
  </si>
  <si>
    <t>Two-dwelling residential buildings</t>
  </si>
  <si>
    <t>Three or more dwelling residential buildings</t>
  </si>
  <si>
    <t>GEO (Labels)</t>
  </si>
  <si>
    <t>Belgium</t>
  </si>
  <si>
    <t>Région de Bruxelles-Capitale/Brussels Hoofdstedelijk Gewest</t>
  </si>
  <si>
    <t>Prov. Antwerpen</t>
  </si>
  <si>
    <t>Prov. Limburg (BE)</t>
  </si>
  <si>
    <t>Prov. Oost-Vlaanderen</t>
  </si>
  <si>
    <t>Prov. Vlaams-Brabant</t>
  </si>
  <si>
    <t>Prov. West-Vlaanderen</t>
  </si>
  <si>
    <t>Prov. Brabant wallon</t>
  </si>
  <si>
    <t>Prov. Hainaut</t>
  </si>
  <si>
    <t>Prov. Liège</t>
  </si>
  <si>
    <t>Prov. Luxembourg (BE)</t>
  </si>
  <si>
    <t>Prov. Namur</t>
  </si>
  <si>
    <t>Netherlands</t>
  </si>
  <si>
    <t>Friesland (NL)</t>
  </si>
  <si>
    <t>Utrecht (NUTS 2021)</t>
  </si>
  <si>
    <t>Zuid-Holland (NUTS 2021)</t>
  </si>
  <si>
    <t>Limburg (NL)</t>
  </si>
  <si>
    <t>Residential</t>
  </si>
  <si>
    <t>One dwelling</t>
  </si>
  <si>
    <t>Percent one dwelling</t>
  </si>
  <si>
    <t>Percent one dwelling weighted by population</t>
  </si>
  <si>
    <t>VEHICLE (Labels)</t>
  </si>
  <si>
    <t>Lorries</t>
  </si>
  <si>
    <t>Trailers and semi-trailers</t>
  </si>
  <si>
    <t>Goods road motor vehicles &lt;= 3.5 tonnes</t>
  </si>
  <si>
    <t>Passenger cars</t>
  </si>
  <si>
    <t>Motor coaches, buses and trolley buses</t>
  </si>
  <si>
    <t>GEO (Codes)</t>
  </si>
  <si>
    <t>BE</t>
  </si>
  <si>
    <t>NL</t>
  </si>
  <si>
    <t>:</t>
  </si>
  <si>
    <t>C</t>
  </si>
  <si>
    <t>Vans</t>
  </si>
  <si>
    <t>Cars</t>
  </si>
  <si>
    <t>Busses</t>
  </si>
  <si>
    <t>Trucks</t>
  </si>
  <si>
    <t>https://ec.europa.eu/eurostat/databrowser/view/tran_r_vehst__custom_20307657/default/table?page=time:2023</t>
  </si>
  <si>
    <t>Assumed remaining busses are split evenly between Friesland and Drenthe</t>
  </si>
  <si>
    <t>Unclear what trucks are (lorries also cover vans), so we use ACEA for scale https://www.acea.auto/files/ACEA-report-vehicles-in-use-europe-2023.pdf</t>
  </si>
  <si>
    <t>Cars own driveway</t>
  </si>
  <si>
    <t>Cars street charging</t>
  </si>
  <si>
    <t>Thousands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</si>
</sst>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quot;€&quot;_-;\-* #,##0&quot;€&quot;_-;_-* &quot;-&quot;&quot;€&quot;_-;_-@_-"/>
    <numFmt numFmtId="165" formatCode="_-* #,##0_€_-;\-* #,##0_€_-;_-* &quot;-&quot;_€_-;_-@_-"/>
    <numFmt numFmtId="166" formatCode="_-* #,##0.00&quot;€&quot;_-;\-* #,##0.00&quot;€&quot;_-;_-* &quot;-&quot;??&quot;€&quot;_-;_-@_-"/>
    <numFmt numFmtId="167" formatCode="_-* #,##0.00_€_-;\-* #,##0.00_€_-;_-* &quot;-&quot;??_€_-;_-@_-"/>
    <numFmt numFmtId="171" formatCode="_ * #,##0.00_ ;_ * \-#,##0.00_ ;_ * &quot;-&quot;??_ ;_ @_ "/>
  </numFmts>
  <fonts count="28" x14ac:knownFonts="1">
    <font>
      <sz val="11"/>
      <color theme="1"/>
      <name val="Calibri"/>
      <family val="2"/>
      <scheme val="minor"/>
    </font>
    <font>
      <sz val="11"/>
      <color theme="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000000"/>
      <name val="Calibri"/>
      <family val="2"/>
      <scheme val="minor"/>
    </font>
    <font>
      <sz val="11"/>
      <color rgb="FFFFFFFF"/>
      <name val="Calibri"/>
      <family val="2"/>
      <scheme val="minor"/>
    </font>
    <font>
      <u/>
      <sz val="11"/>
      <color theme="10"/>
      <name val="Calibri"/>
      <family val="2"/>
      <scheme val="minor"/>
    </font>
    <font>
      <sz val="10"/>
      <name val="Arial"/>
    </font>
    <font>
      <sz val="10"/>
      <name val="Arial"/>
      <family val="2"/>
    </font>
    <font>
      <u/>
      <sz val="10"/>
      <color theme="10"/>
      <name val="Arial"/>
      <family val="2"/>
    </font>
    <font>
      <sz val="11"/>
      <color indexed="8"/>
      <name val="Calibri"/>
      <family val="2"/>
      <scheme val="minor"/>
    </font>
    <font>
      <b/>
      <sz val="9"/>
      <name val="Arial"/>
    </font>
    <font>
      <sz val="9"/>
      <name val="Arial"/>
    </font>
    <font>
      <b/>
      <sz val="9"/>
      <color indexed="9"/>
      <name val="Arial"/>
    </font>
  </fonts>
  <fills count="46">
    <fill>
      <patternFill patternType="none"/>
    </fill>
    <fill>
      <patternFill patternType="gray125"/>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E7E6E6"/>
        <bgColor indexed="64"/>
      </patternFill>
    </fill>
    <fill>
      <patternFill patternType="solid">
        <fgColor rgb="FFED7D31"/>
        <bgColor indexed="64"/>
      </patternFill>
    </fill>
    <fill>
      <patternFill patternType="solid">
        <fgColor rgb="FF9BC2E6"/>
        <bgColor indexed="64"/>
      </patternFill>
    </fill>
    <fill>
      <patternFill patternType="solid">
        <fgColor theme="9" tint="0.39994506668294322"/>
        <bgColor indexed="64"/>
      </patternFill>
    </fill>
    <fill>
      <patternFill patternType="solid">
        <fgColor theme="7" tint="0.39994506668294322"/>
        <bgColor indexed="64"/>
      </patternFill>
    </fill>
    <fill>
      <patternFill patternType="solid">
        <fgColor theme="5" tint="0.59996337778862885"/>
        <bgColor indexed="64"/>
      </patternFill>
    </fill>
    <fill>
      <patternFill patternType="gray0625">
        <fgColor theme="0" tint="-0.24994659260841701"/>
        <bgColor theme="0"/>
      </patternFill>
    </fill>
    <fill>
      <patternFill patternType="solid">
        <fgColor rgb="FF4669AF"/>
      </patternFill>
    </fill>
    <fill>
      <patternFill patternType="solid">
        <fgColor rgb="FF0096DC"/>
      </patternFill>
    </fill>
    <fill>
      <patternFill patternType="solid">
        <fgColor rgb="FFDCE6F1"/>
      </patternFill>
    </fill>
    <fill>
      <patternFill patternType="mediumGray">
        <bgColor indexed="22"/>
      </patternFill>
    </fill>
    <fill>
      <patternFill patternType="solid">
        <fgColor rgb="FFF6F6F6"/>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top/>
      <bottom/>
      <diagonal/>
    </border>
    <border>
      <left style="thin">
        <color rgb="FFB0B0B0"/>
      </left>
      <right style="thin">
        <color rgb="FFB0B0B0"/>
      </right>
      <top style="thin">
        <color rgb="FFB0B0B0"/>
      </top>
      <bottom style="thin">
        <color rgb="FFB0B0B0"/>
      </bottom>
      <diagonal/>
    </border>
  </borders>
  <cellStyleXfs count="82">
    <xf numFmtId="0" fontId="0" fillId="0" borderId="0"/>
    <xf numFmtId="167" fontId="2"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0" applyNumberFormat="0" applyBorder="0" applyAlignment="0" applyProtection="0"/>
    <xf numFmtId="0" fontId="10" fillId="6" borderId="4" applyNumberFormat="0" applyAlignment="0" applyProtection="0"/>
    <xf numFmtId="0" fontId="11" fillId="7" borderId="5" applyNumberFormat="0" applyAlignment="0" applyProtection="0"/>
    <xf numFmtId="0" fontId="12" fillId="7" borderId="4" applyNumberFormat="0" applyAlignment="0" applyProtection="0"/>
    <xf numFmtId="0" fontId="13" fillId="0" borderId="6" applyNumberFormat="0" applyFill="0" applyAlignment="0" applyProtection="0"/>
    <xf numFmtId="0" fontId="14" fillId="8" borderId="7" applyNumberFormat="0" applyAlignment="0" applyProtection="0"/>
    <xf numFmtId="0" fontId="15" fillId="0" borderId="0" applyNumberFormat="0" applyFill="0" applyBorder="0" applyAlignment="0" applyProtection="0"/>
    <xf numFmtId="0" fontId="2" fillId="9"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1"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1"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1"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1"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1"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19" fillId="2" borderId="0">
      <alignment wrapText="1"/>
    </xf>
    <xf numFmtId="0" fontId="18" fillId="38" borderId="0">
      <alignment wrapText="1"/>
    </xf>
    <xf numFmtId="0" fontId="2" fillId="40" borderId="11">
      <alignment wrapText="1"/>
      <protection locked="0"/>
    </xf>
    <xf numFmtId="0" fontId="2" fillId="0" borderId="0">
      <protection locked="0"/>
    </xf>
    <xf numFmtId="0" fontId="18" fillId="34" borderId="0">
      <alignment wrapText="1"/>
    </xf>
    <xf numFmtId="0" fontId="2" fillId="39" borderId="10">
      <alignment wrapText="1"/>
      <protection locked="0"/>
    </xf>
    <xf numFmtId="0" fontId="2" fillId="37" borderId="0">
      <alignment wrapText="1"/>
    </xf>
    <xf numFmtId="2" fontId="2" fillId="0" borderId="0" applyFont="0" applyFill="0" applyBorder="0" applyAlignment="0" applyProtection="0"/>
    <xf numFmtId="10" fontId="2" fillId="0" borderId="0" applyFont="0" applyFill="0" applyBorder="0" applyAlignment="0" applyProtection="0"/>
    <xf numFmtId="0" fontId="19" fillId="35" borderId="0" applyProtection="0">
      <alignment wrapText="1"/>
      <protection locked="0"/>
    </xf>
    <xf numFmtId="0" fontId="20" fillId="0" borderId="0" applyNumberFormat="0" applyFill="0" applyBorder="0" applyAlignment="0" applyProtection="0"/>
    <xf numFmtId="0" fontId="18" fillId="36" borderId="0"/>
    <xf numFmtId="0" fontId="21"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2" fillId="0" borderId="0"/>
    <xf numFmtId="0" fontId="2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171" fontId="2" fillId="0" borderId="0" applyFont="0" applyFill="0" applyBorder="0" applyAlignment="0" applyProtection="0"/>
    <xf numFmtId="0" fontId="23" fillId="0" borderId="0" applyNumberFormat="0" applyFill="0" applyBorder="0" applyAlignment="0" applyProtection="0"/>
    <xf numFmtId="0" fontId="20" fillId="0" borderId="0" applyNumberFormat="0" applyFill="0" applyBorder="0" applyAlignment="0" applyProtection="0"/>
    <xf numFmtId="0" fontId="2" fillId="0" borderId="0"/>
    <xf numFmtId="0" fontId="24" fillId="0" borderId="0"/>
  </cellStyleXfs>
  <cellXfs count="41">
    <xf numFmtId="0" fontId="0" fillId="0" borderId="0" xfId="0"/>
    <xf numFmtId="0" fontId="2" fillId="0" borderId="0" xfId="50">
      <protection locked="0"/>
    </xf>
    <xf numFmtId="0" fontId="2" fillId="39" borderId="10" xfId="52">
      <alignment wrapText="1"/>
      <protection locked="0"/>
    </xf>
    <xf numFmtId="0" fontId="19" fillId="2" borderId="0" xfId="47">
      <alignment wrapText="1"/>
    </xf>
    <xf numFmtId="0" fontId="18" fillId="36" borderId="0" xfId="58"/>
    <xf numFmtId="0" fontId="19" fillId="35" borderId="0" xfId="56" applyProtection="1">
      <alignment wrapText="1"/>
    </xf>
    <xf numFmtId="0" fontId="19" fillId="35" borderId="0" xfId="56" applyProtection="1">
      <alignment wrapText="1"/>
      <protection locked="0"/>
    </xf>
    <xf numFmtId="0" fontId="18" fillId="34" borderId="0" xfId="51">
      <alignment wrapText="1"/>
    </xf>
    <xf numFmtId="0" fontId="2" fillId="37" borderId="0" xfId="53">
      <alignment wrapText="1"/>
    </xf>
    <xf numFmtId="0" fontId="2" fillId="40" borderId="11" xfId="49">
      <alignment wrapText="1"/>
      <protection locked="0"/>
    </xf>
    <xf numFmtId="0" fontId="18" fillId="38" borderId="0" xfId="48">
      <alignment wrapText="1"/>
    </xf>
    <xf numFmtId="0" fontId="0" fillId="37" borderId="0" xfId="53" applyFont="1">
      <alignment wrapText="1"/>
    </xf>
    <xf numFmtId="0" fontId="2" fillId="39" borderId="10" xfId="52">
      <alignment wrapText="1"/>
      <protection locked="0"/>
    </xf>
    <xf numFmtId="0" fontId="2" fillId="40" borderId="11" xfId="49">
      <alignment wrapText="1"/>
      <protection locked="0"/>
    </xf>
    <xf numFmtId="0" fontId="2" fillId="0" borderId="0" xfId="50">
      <protection locked="0"/>
    </xf>
    <xf numFmtId="0" fontId="18" fillId="38" borderId="0" xfId="48">
      <alignment wrapText="1"/>
    </xf>
    <xf numFmtId="0" fontId="19" fillId="2" borderId="0" xfId="47">
      <alignment wrapText="1"/>
    </xf>
    <xf numFmtId="0" fontId="19" fillId="35" borderId="0" xfId="56" applyProtection="1">
      <alignment wrapText="1"/>
    </xf>
    <xf numFmtId="10" fontId="18" fillId="38" borderId="0" xfId="55" applyFont="1" applyFill="1" applyAlignment="1">
      <alignment wrapText="1"/>
    </xf>
    <xf numFmtId="0" fontId="23" fillId="0" borderId="0" xfId="78"/>
    <xf numFmtId="0" fontId="19" fillId="35" borderId="0" xfId="56" applyAlignment="1" applyProtection="1">
      <alignment horizontal="center" vertical="center" wrapText="1"/>
    </xf>
    <xf numFmtId="2" fontId="18" fillId="38" borderId="0" xfId="54" applyFont="1" applyFill="1" applyAlignment="1">
      <alignment wrapText="1"/>
    </xf>
    <xf numFmtId="0" fontId="19" fillId="35" borderId="0" xfId="56" applyAlignment="1" applyProtection="1">
      <alignment horizontal="center" wrapText="1"/>
    </xf>
    <xf numFmtId="0" fontId="2" fillId="37" borderId="12" xfId="53" applyBorder="1" applyAlignment="1">
      <alignment horizontal="center" wrapText="1"/>
    </xf>
    <xf numFmtId="0" fontId="2" fillId="37" borderId="0" xfId="53" applyAlignment="1">
      <alignment horizontal="center" wrapText="1"/>
    </xf>
    <xf numFmtId="0" fontId="27" fillId="41" borderId="13" xfId="81" applyFont="1" applyFill="1" applyBorder="1" applyAlignment="1">
      <alignment horizontal="right" vertical="center"/>
    </xf>
    <xf numFmtId="0" fontId="25" fillId="42" borderId="13" xfId="81" applyFont="1" applyFill="1" applyBorder="1" applyAlignment="1">
      <alignment horizontal="left" vertical="center"/>
    </xf>
    <xf numFmtId="0" fontId="25" fillId="43" borderId="13" xfId="81" applyFont="1" applyFill="1" applyBorder="1" applyAlignment="1">
      <alignment horizontal="left" vertical="center"/>
    </xf>
    <xf numFmtId="0" fontId="24" fillId="44" borderId="0" xfId="81" applyFill="1"/>
    <xf numFmtId="3" fontId="26" fillId="0" borderId="0" xfId="81" applyNumberFormat="1" applyFont="1" applyAlignment="1">
      <alignment horizontal="right" vertical="center" shrinkToFit="1"/>
    </xf>
    <xf numFmtId="3" fontId="26" fillId="45" borderId="0" xfId="81" applyNumberFormat="1" applyFont="1" applyFill="1" applyAlignment="1">
      <alignment horizontal="right" vertical="center" shrinkToFit="1"/>
    </xf>
    <xf numFmtId="0" fontId="27" fillId="41" borderId="13" xfId="81" applyFont="1" applyFill="1" applyBorder="1" applyAlignment="1">
      <alignment horizontal="left" vertical="center"/>
    </xf>
    <xf numFmtId="0" fontId="27" fillId="41" borderId="13" xfId="81" applyFont="1" applyFill="1" applyBorder="1" applyAlignment="1">
      <alignment horizontal="right" vertical="center"/>
    </xf>
    <xf numFmtId="10" fontId="18" fillId="36" borderId="0" xfId="55" applyFont="1" applyFill="1"/>
    <xf numFmtId="0" fontId="23" fillId="35" borderId="0" xfId="78" applyFill="1" applyAlignment="1" applyProtection="1">
      <alignment horizontal="center" wrapText="1"/>
    </xf>
    <xf numFmtId="0" fontId="25" fillId="42" borderId="13" xfId="81" applyFont="1" applyFill="1" applyBorder="1" applyAlignment="1">
      <alignment horizontal="left" vertical="center"/>
    </xf>
    <xf numFmtId="0" fontId="25" fillId="43" borderId="13" xfId="81" applyFont="1" applyFill="1" applyBorder="1" applyAlignment="1">
      <alignment horizontal="left" vertical="center"/>
    </xf>
    <xf numFmtId="0" fontId="24" fillId="44" borderId="0" xfId="81" applyFill="1"/>
    <xf numFmtId="3" fontId="26" fillId="0" borderId="0" xfId="81" applyNumberFormat="1" applyFont="1" applyAlignment="1">
      <alignment horizontal="right" vertical="center" shrinkToFit="1"/>
    </xf>
    <xf numFmtId="3" fontId="26" fillId="45" borderId="0" xfId="81" applyNumberFormat="1" applyFont="1" applyFill="1" applyAlignment="1">
      <alignment horizontal="right" vertical="center" shrinkToFit="1"/>
    </xf>
    <xf numFmtId="1" fontId="18" fillId="36" borderId="0" xfId="58" applyNumberFormat="1"/>
  </cellXfs>
  <cellStyles count="8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ssumptions" xfId="49" xr:uid="{22DCD727-A896-4326-9CA0-DD31C5258E8E}"/>
    <cellStyle name="Background" xfId="58" xr:uid="{F43880F3-0AFF-41E1-B8BE-2402D4065084}"/>
    <cellStyle name="Bad" xfId="12" builtinId="27" hidden="1"/>
    <cellStyle name="Calculation" xfId="16" builtinId="22" hidden="1"/>
    <cellStyle name="Calculations" xfId="48" xr:uid="{4799341C-77EF-4AB3-8915-5B2ED0C7436D}"/>
    <cellStyle name="Check Cell" xfId="18" builtinId="23" hidden="1"/>
    <cellStyle name="Comma" xfId="1" builtinId="3" hidden="1"/>
    <cellStyle name="Comma [0]" xfId="2" builtinId="6" hidden="1"/>
    <cellStyle name="Currency" xfId="3" builtinId="4" hidden="1"/>
    <cellStyle name="Currency [0]" xfId="4" builtinId="7" hidden="1"/>
    <cellStyle name="Definitions" xfId="52" xr:uid="{66D1C99C-2FCB-4C18-969A-E0E013C5CB02}"/>
    <cellStyle name="Explanations" xfId="53" xr:uid="{D729CB65-441F-456A-87C4-E26BCA965395}"/>
    <cellStyle name="Explanatory Text" xfId="21" builtinId="53" hidden="1"/>
    <cellStyle name="Good" xfId="11" builtinId="26" hidden="1"/>
    <cellStyle name="Headers" xfId="51" xr:uid="{9992F63C-99A7-4195-BA08-9337A0F49486}"/>
    <cellStyle name="Heading 1" xfId="7" builtinId="16" hidden="1"/>
    <cellStyle name="Heading 2" xfId="8" builtinId="17" hidden="1"/>
    <cellStyle name="Heading 3" xfId="9" builtinId="18" hidden="1"/>
    <cellStyle name="Heading 4" xfId="10" builtinId="19" hidden="1"/>
    <cellStyle name="Hyperlink" xfId="57" builtinId="8" hidden="1"/>
    <cellStyle name="Hyperlink" xfId="78" builtinId="8"/>
    <cellStyle name="Hyperlink 2" xfId="79" xr:uid="{DFA52887-7C64-4625-9495-D85F0474E07E}"/>
    <cellStyle name="Input" xfId="14" builtinId="20" hidden="1"/>
    <cellStyle name="Inputs" xfId="50" xr:uid="{DFA79502-D6D1-43C4-880E-B19282FD4101}"/>
    <cellStyle name="Komma 2" xfId="77" xr:uid="{E5D89F0E-DE51-4F24-9B53-35207048D6F7}"/>
    <cellStyle name="Linked Cell" xfId="17" builtinId="24" hidden="1"/>
    <cellStyle name="Neutral" xfId="13" builtinId="28" hidden="1"/>
    <cellStyle name="Normal" xfId="0" builtinId="0"/>
    <cellStyle name="Normal 2" xfId="59" xr:uid="{8F71E18F-3BDC-4249-ABDE-F788F937EFBD}"/>
    <cellStyle name="Normal 3" xfId="81" xr:uid="{297A54CD-2182-4A0C-839F-BC4BF89860A4}"/>
    <cellStyle name="Note" xfId="20" builtinId="10" hidden="1"/>
    <cellStyle name="Number" xfId="54" xr:uid="{2603BC93-2B87-43EC-96F0-DF3AAC38E282}"/>
    <cellStyle name="Output" xfId="15" builtinId="21" hidden="1"/>
    <cellStyle name="Percent" xfId="5" builtinId="5" hidden="1"/>
    <cellStyle name="Percent" xfId="55" xr:uid="{3602418B-7831-4E2D-BB8E-0818E88CEE1E}"/>
    <cellStyle name="Procent 2" xfId="61" xr:uid="{50E4EA3C-FD8C-4BF5-ABFD-FC377A4AD800}"/>
    <cellStyle name="Results" xfId="47" xr:uid="{718100E3-CE60-4935-8F23-33B37D049164}"/>
    <cellStyle name="Sources" xfId="56" xr:uid="{E2DF86B1-F83D-4025-A10D-6E185712F5D6}"/>
    <cellStyle name="Standaard 2" xfId="60" xr:uid="{1A70CC82-FDBB-4CE4-BF9E-265FB8484B36}"/>
    <cellStyle name="Standaard 2 2" xfId="69" xr:uid="{1DAF243F-1FDF-463B-9589-6DB9813D063D}"/>
    <cellStyle name="Standaard 3" xfId="62" xr:uid="{BBCEA879-6DDB-4DC0-8423-239B4A20B8DB}"/>
    <cellStyle name="Standaard 3 2" xfId="71" xr:uid="{7773D323-0863-4C21-B613-25052E9AD12B}"/>
    <cellStyle name="Standaard 4" xfId="70" xr:uid="{AF84E1D4-3C08-40E3-A08F-38122845530F}"/>
    <cellStyle name="Standaard 4 2" xfId="80" xr:uid="{32A064B4-5C38-435B-BD1B-7EB79EFF904B}"/>
    <cellStyle name="Standaard 5" xfId="76" xr:uid="{CE83B633-4660-4DCC-9F32-3CB15C20F022}"/>
    <cellStyle name="Standaard_Blad1" xfId="68" xr:uid="{31D30645-5D66-45D7-9E3A-AE08AA12D5CC}"/>
    <cellStyle name="style1499936711542" xfId="63" xr:uid="{9093B971-9A74-4503-92F9-AF27D3A6457C}"/>
    <cellStyle name="style1499936711542 2" xfId="73" xr:uid="{F39E1FF4-80ED-4C1D-8CB2-5D029F08681F}"/>
    <cellStyle name="style1499936711557" xfId="64" xr:uid="{B3A0AD9D-01DC-415D-AD13-E247A102C3E8}"/>
    <cellStyle name="style1499936711557 2" xfId="72" xr:uid="{CB314A56-4F16-49F2-A843-D625FDC1846F}"/>
    <cellStyle name="style1499936711635" xfId="65" xr:uid="{5A3094A9-0B55-4AC2-A236-5B27319D6A58}"/>
    <cellStyle name="style1499936711635 2" xfId="74" xr:uid="{08FD28B9-8699-4295-B432-1358470B2DD8}"/>
    <cellStyle name="style1499936711651" xfId="66" xr:uid="{AF43447A-0770-429D-847A-1AA62314EC87}"/>
    <cellStyle name="style1499936711651 2" xfId="75" xr:uid="{8B481374-D5A0-4C72-89F8-3CE22C49BF9A}"/>
    <cellStyle name="style1499936712276" xfId="67" xr:uid="{7373796E-D8CE-4DCC-84A0-7CE15C06AD5F}"/>
    <cellStyle name="Title" xfId="6" builtinId="15" hidden="1"/>
    <cellStyle name="Total" xfId="22" builtinId="25" hidden="1"/>
    <cellStyle name="Warning Text" xfId="19" builtinId="11" hidden="1"/>
  </cellStyles>
  <dxfs count="0"/>
  <tableStyles count="0" defaultTableStyle="TableStyleMedium2" defaultPivotStyle="PivotStyleLight16"/>
  <colors>
    <mruColors>
      <color rgb="FFA9D0F2"/>
      <color rgb="FFD6277A"/>
      <color rgb="FF0000CC"/>
      <color rgb="FF9BC2E6"/>
      <color rgb="FF00B0F0"/>
      <color rgb="FFCC00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ln w="53340">
          <a:solidFill>
            <a:schemeClr val="tx1"/>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hyperlink" Target="https://ec.europa.eu/eurostat/databrowser/view/tran_r_vehst__custom_20307657/default/table?page=time:2023" TargetMode="External"/><Relationship Id="rId2" Type="http://schemas.openxmlformats.org/officeDocument/2006/relationships/hyperlink" Target="https://ec.europa.eu/eurostat/databrowser/view/cens_21dwbo_r2/default/table?lang=en" TargetMode="External"/><Relationship Id="rId1" Type="http://schemas.openxmlformats.org/officeDocument/2006/relationships/hyperlink" Target="https://data.europa.eu/data/datasets/wqaxnii7saspegaymkpsq?locale=en"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opendata.cbs.n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AC491-2A8F-4CDC-8AE6-C6B6A7F39855}">
  <sheetPr>
    <tabColor theme="9" tint="0.39997558519241921"/>
  </sheetPr>
  <dimension ref="E7:F16"/>
  <sheetViews>
    <sheetView topLeftCell="A9" workbookViewId="0">
      <selection activeCell="F16" sqref="F16"/>
    </sheetView>
  </sheetViews>
  <sheetFormatPr defaultColWidth="9.1796875" defaultRowHeight="14.5" x14ac:dyDescent="0.35"/>
  <cols>
    <col min="1" max="4" width="9.1796875" style="4"/>
    <col min="5" max="5" width="12.453125" style="4" bestFit="1" customWidth="1"/>
    <col min="6" max="6" width="61.7265625" style="4" customWidth="1"/>
    <col min="7" max="16384" width="9.1796875" style="4"/>
  </cols>
  <sheetData>
    <row r="7" spans="5:6" x14ac:dyDescent="0.35">
      <c r="E7" s="7" t="s">
        <v>21</v>
      </c>
      <c r="F7" s="7" t="s">
        <v>22</v>
      </c>
    </row>
    <row r="8" spans="5:6" ht="58" x14ac:dyDescent="0.35">
      <c r="E8" s="7" t="s">
        <v>15</v>
      </c>
      <c r="F8" s="8" t="s">
        <v>6</v>
      </c>
    </row>
    <row r="9" spans="5:6" x14ac:dyDescent="0.35">
      <c r="E9" s="4" t="s">
        <v>23</v>
      </c>
      <c r="F9" s="8" t="s">
        <v>23</v>
      </c>
    </row>
    <row r="10" spans="5:6" ht="29.5" thickBot="1" x14ac:dyDescent="0.4">
      <c r="E10" s="8" t="s">
        <v>14</v>
      </c>
      <c r="F10" s="8" t="s">
        <v>0</v>
      </c>
    </row>
    <row r="11" spans="5:6" ht="44.5" thickTop="1" thickBot="1" x14ac:dyDescent="0.4">
      <c r="E11" s="9" t="s">
        <v>16</v>
      </c>
      <c r="F11" s="8" t="s">
        <v>5</v>
      </c>
    </row>
    <row r="12" spans="5:6" ht="29.5" thickTop="1" x14ac:dyDescent="0.35">
      <c r="E12" s="1" t="s">
        <v>17</v>
      </c>
      <c r="F12" s="8" t="s">
        <v>1</v>
      </c>
    </row>
    <row r="13" spans="5:6" ht="29" x14ac:dyDescent="0.35">
      <c r="E13" s="10" t="s">
        <v>18</v>
      </c>
      <c r="F13" s="8" t="s">
        <v>3</v>
      </c>
    </row>
    <row r="14" spans="5:6" ht="58" x14ac:dyDescent="0.35">
      <c r="E14" s="2" t="s">
        <v>19</v>
      </c>
      <c r="F14" s="11" t="s">
        <v>2</v>
      </c>
    </row>
    <row r="15" spans="5:6" x14ac:dyDescent="0.35">
      <c r="E15" s="3" t="s">
        <v>20</v>
      </c>
      <c r="F15" s="8" t="s">
        <v>4</v>
      </c>
    </row>
    <row r="16" spans="5:6" ht="58" x14ac:dyDescent="0.35">
      <c r="E16" s="6" t="s">
        <v>13</v>
      </c>
      <c r="F16" s="11" t="s">
        <v>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486D8-15FE-4E7E-98B2-CB4C36110BCD}">
  <sheetPr codeName="Sheet34">
    <tabColor theme="9" tint="0.39997558519241921"/>
  </sheetPr>
  <dimension ref="C6"/>
  <sheetViews>
    <sheetView topLeftCell="A2" workbookViewId="0">
      <selection activeCell="D6" sqref="D6:G6"/>
    </sheetView>
  </sheetViews>
  <sheetFormatPr defaultColWidth="9.1796875" defaultRowHeight="14.5" x14ac:dyDescent="0.35"/>
  <cols>
    <col min="1" max="2" width="9.1796875" style="4"/>
    <col min="3" max="3" width="36.1796875" style="4" customWidth="1"/>
    <col min="4" max="16384" width="9.1796875" style="4"/>
  </cols>
  <sheetData>
    <row r="6" spans="3:3" x14ac:dyDescent="0.35">
      <c r="C6" s="11"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11080-F3B1-4D5F-A278-17F1D900E02C}">
  <sheetPr>
    <tabColor theme="5" tint="0.59999389629810485"/>
  </sheetPr>
  <dimension ref="E8:Y61"/>
  <sheetViews>
    <sheetView workbookViewId="0">
      <selection activeCell="M17" sqref="M17:X25"/>
    </sheetView>
  </sheetViews>
  <sheetFormatPr defaultColWidth="9.1796875" defaultRowHeight="14.5" x14ac:dyDescent="0.35"/>
  <cols>
    <col min="1" max="7" width="9.1796875" style="4"/>
    <col min="8" max="8" width="12.90625" style="4" customWidth="1"/>
    <col min="9" max="11" width="9.1796875" style="4"/>
    <col min="12" max="12" width="12.36328125" style="4" bestFit="1" customWidth="1"/>
    <col min="13" max="24" width="11.36328125" style="4" bestFit="1" customWidth="1"/>
    <col min="25" max="16384" width="9.1796875" style="4"/>
  </cols>
  <sheetData>
    <row r="8" spans="5:25" x14ac:dyDescent="0.35">
      <c r="E8" s="12" t="s">
        <v>27</v>
      </c>
      <c r="F8" s="12"/>
      <c r="G8" s="12"/>
      <c r="H8" s="12"/>
      <c r="I8" s="12"/>
      <c r="J8" s="12"/>
      <c r="K8" s="12"/>
      <c r="L8" s="12"/>
      <c r="M8" s="12"/>
      <c r="N8" s="12"/>
      <c r="O8" s="12"/>
      <c r="P8" s="12"/>
      <c r="Q8" s="12"/>
      <c r="R8" s="12"/>
      <c r="S8" s="12"/>
    </row>
    <row r="9" spans="5:25" x14ac:dyDescent="0.35">
      <c r="E9" s="12"/>
      <c r="F9" s="12"/>
      <c r="G9" s="12"/>
      <c r="H9" s="12"/>
      <c r="I9" s="12"/>
      <c r="J9" s="12"/>
      <c r="K9" s="12"/>
      <c r="L9" s="12"/>
      <c r="M9" s="12"/>
      <c r="N9" s="12"/>
      <c r="O9" s="12"/>
      <c r="P9" s="12"/>
      <c r="Q9" s="12"/>
      <c r="R9" s="12"/>
      <c r="S9" s="12"/>
    </row>
    <row r="10" spans="5:25" x14ac:dyDescent="0.35">
      <c r="E10" s="12"/>
      <c r="F10" s="12"/>
      <c r="G10" s="12"/>
      <c r="H10" s="12"/>
      <c r="I10" s="12"/>
      <c r="J10" s="12"/>
      <c r="K10" s="12"/>
      <c r="L10" s="12"/>
      <c r="M10" s="12"/>
      <c r="N10" s="12"/>
      <c r="O10" s="12"/>
      <c r="P10" s="12"/>
      <c r="Q10" s="12"/>
      <c r="R10" s="12"/>
      <c r="S10" s="12"/>
    </row>
    <row r="11" spans="5:25" x14ac:dyDescent="0.35">
      <c r="E11" s="12"/>
      <c r="F11" s="12"/>
      <c r="G11" s="12"/>
      <c r="H11" s="12"/>
      <c r="I11" s="12"/>
      <c r="J11" s="12"/>
      <c r="K11" s="12"/>
      <c r="L11" s="12"/>
      <c r="M11" s="12"/>
      <c r="N11" s="12"/>
      <c r="O11" s="12"/>
      <c r="P11" s="12"/>
      <c r="Q11" s="12"/>
      <c r="R11" s="12"/>
      <c r="S11" s="12"/>
    </row>
    <row r="12" spans="5:25" x14ac:dyDescent="0.35">
      <c r="E12" s="12"/>
      <c r="F12" s="12"/>
      <c r="G12" s="12"/>
      <c r="H12" s="12"/>
      <c r="I12" s="12"/>
      <c r="J12" s="12"/>
      <c r="K12" s="12"/>
      <c r="L12" s="12"/>
      <c r="M12" s="12"/>
      <c r="N12" s="12"/>
      <c r="O12" s="12"/>
      <c r="P12" s="12"/>
      <c r="Q12" s="12"/>
      <c r="R12" s="12"/>
      <c r="S12" s="12"/>
    </row>
    <row r="15" spans="5:25" x14ac:dyDescent="0.35">
      <c r="E15" s="7" t="s">
        <v>96</v>
      </c>
      <c r="F15" s="7" t="s">
        <v>97</v>
      </c>
      <c r="G15" s="7" t="s">
        <v>98</v>
      </c>
      <c r="H15" s="7" t="s">
        <v>99</v>
      </c>
    </row>
    <row r="16" spans="5:25" x14ac:dyDescent="0.35">
      <c r="E16" t="s">
        <v>56</v>
      </c>
      <c r="F16" t="s">
        <v>57</v>
      </c>
      <c r="G16">
        <v>0.47299999999999998</v>
      </c>
      <c r="H16">
        <v>0.24410000000000001</v>
      </c>
      <c r="L16" s="7" t="s">
        <v>100</v>
      </c>
      <c r="M16" s="7" t="s">
        <v>81</v>
      </c>
      <c r="N16" s="7" t="s">
        <v>86</v>
      </c>
      <c r="O16" s="7" t="s">
        <v>83</v>
      </c>
      <c r="P16" s="7" t="s">
        <v>77</v>
      </c>
      <c r="Q16" s="7" t="s">
        <v>79</v>
      </c>
      <c r="R16" s="7" t="s">
        <v>80</v>
      </c>
      <c r="S16" s="7" t="s">
        <v>92</v>
      </c>
      <c r="T16" s="7" t="s">
        <v>84</v>
      </c>
      <c r="U16" s="7" t="s">
        <v>88</v>
      </c>
      <c r="V16" s="7" t="s">
        <v>94</v>
      </c>
      <c r="W16" s="7" t="s">
        <v>90</v>
      </c>
      <c r="X16" s="7" t="s">
        <v>75</v>
      </c>
      <c r="Y16" s="7" t="s">
        <v>102</v>
      </c>
    </row>
    <row r="17" spans="5:25" x14ac:dyDescent="0.35">
      <c r="E17" t="s">
        <v>58</v>
      </c>
      <c r="F17" t="s">
        <v>57</v>
      </c>
      <c r="G17">
        <v>1</v>
      </c>
      <c r="H17">
        <v>1</v>
      </c>
      <c r="L17" s="7" t="s">
        <v>76</v>
      </c>
      <c r="M17" s="1">
        <v>0</v>
      </c>
      <c r="N17" s="1">
        <v>0</v>
      </c>
      <c r="O17" s="1">
        <v>0</v>
      </c>
      <c r="P17" s="1">
        <v>0</v>
      </c>
      <c r="Q17" s="1">
        <v>0</v>
      </c>
      <c r="R17" s="1">
        <v>0</v>
      </c>
      <c r="S17" s="1">
        <v>0</v>
      </c>
      <c r="T17" s="1">
        <v>0</v>
      </c>
      <c r="U17" s="1">
        <v>0</v>
      </c>
      <c r="V17" s="1">
        <v>0</v>
      </c>
      <c r="W17" s="1">
        <v>0</v>
      </c>
      <c r="X17">
        <v>0.52829999999999999</v>
      </c>
      <c r="Y17" s="10">
        <f>SUM(INDEX(NUT2_to_IC_matrix_population,ROW()-ROW(ref_cell_by_pop),0))</f>
        <v>0.52829999999999999</v>
      </c>
    </row>
    <row r="18" spans="5:25" x14ac:dyDescent="0.35">
      <c r="E18" t="s">
        <v>56</v>
      </c>
      <c r="F18" t="s">
        <v>59</v>
      </c>
      <c r="G18">
        <v>0.34889999999999999</v>
      </c>
      <c r="H18">
        <v>0.57130000000000003</v>
      </c>
      <c r="L18" s="7" t="s">
        <v>78</v>
      </c>
      <c r="M18" s="1">
        <v>0</v>
      </c>
      <c r="N18" s="1">
        <v>0</v>
      </c>
      <c r="O18" s="1">
        <v>0</v>
      </c>
      <c r="P18">
        <v>1</v>
      </c>
      <c r="Q18">
        <v>1</v>
      </c>
      <c r="R18">
        <v>1</v>
      </c>
      <c r="S18" s="1">
        <v>0</v>
      </c>
      <c r="T18" s="1">
        <v>0</v>
      </c>
      <c r="U18" s="1">
        <v>0</v>
      </c>
      <c r="V18" s="1">
        <v>0</v>
      </c>
      <c r="W18" s="1">
        <v>0</v>
      </c>
      <c r="X18" s="1">
        <v>0</v>
      </c>
      <c r="Y18" s="10">
        <f>SUM(INDEX(NUT2_to_IC_matrix_population,ROW()-ROW(ref_cell_by_pop),0))</f>
        <v>3</v>
      </c>
    </row>
    <row r="19" spans="5:25" x14ac:dyDescent="0.35">
      <c r="E19" t="s">
        <v>60</v>
      </c>
      <c r="F19" t="s">
        <v>59</v>
      </c>
      <c r="G19">
        <v>0.15970000000000001</v>
      </c>
      <c r="H19">
        <v>0.1724</v>
      </c>
      <c r="L19" s="7" t="s">
        <v>82</v>
      </c>
      <c r="M19">
        <v>1</v>
      </c>
      <c r="N19" s="1">
        <v>0</v>
      </c>
      <c r="O19">
        <v>0.73</v>
      </c>
      <c r="P19" s="1">
        <v>0</v>
      </c>
      <c r="Q19" s="1">
        <v>0</v>
      </c>
      <c r="R19" s="1">
        <v>0</v>
      </c>
      <c r="S19" s="1">
        <v>0</v>
      </c>
      <c r="T19" s="1">
        <v>0</v>
      </c>
      <c r="U19" s="1">
        <v>0</v>
      </c>
      <c r="V19" s="1">
        <v>0</v>
      </c>
      <c r="W19" s="1">
        <v>0</v>
      </c>
      <c r="X19" s="1">
        <v>0</v>
      </c>
      <c r="Y19" s="10">
        <f>SUM(INDEX(NUT2_to_IC_matrix_population,ROW()-ROW(ref_cell_by_pop),0))</f>
        <v>1.73</v>
      </c>
    </row>
    <row r="20" spans="5:25" x14ac:dyDescent="0.35">
      <c r="E20" t="s">
        <v>61</v>
      </c>
      <c r="F20" t="s">
        <v>62</v>
      </c>
      <c r="G20">
        <v>1</v>
      </c>
      <c r="H20">
        <v>1</v>
      </c>
      <c r="L20" s="7" t="s">
        <v>85</v>
      </c>
      <c r="M20" s="1">
        <v>0</v>
      </c>
      <c r="N20" s="1">
        <v>0</v>
      </c>
      <c r="O20" s="1">
        <v>0</v>
      </c>
      <c r="P20" s="1">
        <v>0</v>
      </c>
      <c r="Q20" s="1">
        <v>0</v>
      </c>
      <c r="R20" s="1">
        <v>0</v>
      </c>
      <c r="S20" s="1">
        <v>0</v>
      </c>
      <c r="T20">
        <v>0.60319999999999996</v>
      </c>
      <c r="U20" s="1">
        <v>0</v>
      </c>
      <c r="V20" s="1">
        <v>0</v>
      </c>
      <c r="W20" s="1">
        <v>0</v>
      </c>
      <c r="X20" s="1">
        <v>0</v>
      </c>
      <c r="Y20" s="10">
        <f>SUM(INDEX(NUT2_to_IC_matrix_population,ROW()-ROW(ref_cell_by_pop),0))</f>
        <v>0.60319999999999996</v>
      </c>
    </row>
    <row r="21" spans="5:25" x14ac:dyDescent="0.35">
      <c r="E21" t="s">
        <v>56</v>
      </c>
      <c r="F21" t="s">
        <v>62</v>
      </c>
      <c r="G21">
        <v>0.17810000000000001</v>
      </c>
      <c r="H21">
        <v>0.18459999999999999</v>
      </c>
      <c r="L21" s="7" t="s">
        <v>87</v>
      </c>
      <c r="M21" s="1">
        <v>0</v>
      </c>
      <c r="N21" s="1">
        <v>1</v>
      </c>
      <c r="O21">
        <v>0.27</v>
      </c>
      <c r="P21" s="1">
        <v>0</v>
      </c>
      <c r="Q21" s="1">
        <v>0</v>
      </c>
      <c r="R21" s="1">
        <v>0</v>
      </c>
      <c r="S21" s="1">
        <v>0</v>
      </c>
      <c r="T21">
        <v>0.22550000000000001</v>
      </c>
      <c r="U21" s="1">
        <v>0</v>
      </c>
      <c r="V21" s="1">
        <v>0</v>
      </c>
      <c r="W21" s="1">
        <v>0</v>
      </c>
      <c r="X21" s="1">
        <v>0</v>
      </c>
      <c r="Y21" s="10">
        <f>SUM(INDEX(NUT2_to_IC_matrix_population,ROW()-ROW(ref_cell_by_pop),0))</f>
        <v>1.4955000000000001</v>
      </c>
    </row>
    <row r="22" spans="5:25" x14ac:dyDescent="0.35">
      <c r="E22" t="s">
        <v>60</v>
      </c>
      <c r="F22" t="s">
        <v>62</v>
      </c>
      <c r="G22">
        <v>0.27260000000000001</v>
      </c>
      <c r="H22">
        <v>0.3241</v>
      </c>
      <c r="L22" s="7" t="s">
        <v>89</v>
      </c>
      <c r="M22" s="1">
        <v>0</v>
      </c>
      <c r="N22" s="1">
        <v>0</v>
      </c>
      <c r="O22" s="1">
        <v>0</v>
      </c>
      <c r="P22" s="1">
        <v>0</v>
      </c>
      <c r="Q22" s="1">
        <v>0</v>
      </c>
      <c r="R22" s="1">
        <v>0</v>
      </c>
      <c r="S22" s="1">
        <v>0</v>
      </c>
      <c r="T22" s="1">
        <v>0</v>
      </c>
      <c r="U22">
        <v>0.43409999999999999</v>
      </c>
      <c r="V22">
        <v>0</v>
      </c>
      <c r="W22">
        <v>0.25480000000000003</v>
      </c>
      <c r="X22" s="1">
        <v>0</v>
      </c>
      <c r="Y22" s="10">
        <f>SUM(INDEX(NUT2_to_IC_matrix_population,ROW()-ROW(ref_cell_by_pop),0))</f>
        <v>0.68890000000000007</v>
      </c>
    </row>
    <row r="23" spans="5:25" x14ac:dyDescent="0.35">
      <c r="E23" t="s">
        <v>63</v>
      </c>
      <c r="F23" t="s">
        <v>62</v>
      </c>
      <c r="G23">
        <v>1</v>
      </c>
      <c r="H23">
        <v>1</v>
      </c>
      <c r="L23" s="7" t="s">
        <v>91</v>
      </c>
      <c r="M23" s="1">
        <v>0</v>
      </c>
      <c r="N23" s="1">
        <v>0</v>
      </c>
      <c r="O23" s="1">
        <v>0</v>
      </c>
      <c r="P23" s="1">
        <v>0</v>
      </c>
      <c r="Q23" s="1">
        <v>0</v>
      </c>
      <c r="R23" s="1">
        <v>0</v>
      </c>
      <c r="S23" s="1">
        <v>0</v>
      </c>
      <c r="T23" s="1">
        <v>0</v>
      </c>
      <c r="U23" s="1">
        <v>0</v>
      </c>
      <c r="V23" s="1">
        <v>0</v>
      </c>
      <c r="W23">
        <v>0.74519999999999997</v>
      </c>
      <c r="X23">
        <v>0.47170000000000001</v>
      </c>
      <c r="Y23" s="10">
        <f>SUM(INDEX(NUT2_to_IC_matrix_population,ROW()-ROW(ref_cell_by_pop),0))</f>
        <v>1.2168999999999999</v>
      </c>
    </row>
    <row r="24" spans="5:25" x14ac:dyDescent="0.35">
      <c r="E24" t="s">
        <v>64</v>
      </c>
      <c r="F24" t="s">
        <v>65</v>
      </c>
      <c r="G24">
        <v>1</v>
      </c>
      <c r="H24">
        <v>1</v>
      </c>
      <c r="L24" s="7" t="s">
        <v>93</v>
      </c>
      <c r="M24" s="1">
        <v>0</v>
      </c>
      <c r="N24" s="1">
        <v>0</v>
      </c>
      <c r="O24" s="1">
        <v>0</v>
      </c>
      <c r="P24" s="1">
        <v>0</v>
      </c>
      <c r="Q24" s="1">
        <v>0</v>
      </c>
      <c r="R24" s="1">
        <v>0</v>
      </c>
      <c r="S24">
        <v>1</v>
      </c>
      <c r="T24">
        <v>0.17130000000000001</v>
      </c>
      <c r="U24">
        <v>0.56589999999999996</v>
      </c>
      <c r="V24" s="1">
        <v>0</v>
      </c>
      <c r="W24" s="1">
        <v>0</v>
      </c>
      <c r="X24" s="1">
        <v>0</v>
      </c>
      <c r="Y24" s="10">
        <f>SUM(INDEX(NUT2_to_IC_matrix_population,ROW()-ROW(ref_cell_by_pop),0))</f>
        <v>1.7372000000000001</v>
      </c>
    </row>
    <row r="25" spans="5:25" x14ac:dyDescent="0.35">
      <c r="E25" t="s">
        <v>66</v>
      </c>
      <c r="F25" t="s">
        <v>65</v>
      </c>
      <c r="G25">
        <v>0.48209999999999997</v>
      </c>
      <c r="H25">
        <v>0.52590000000000003</v>
      </c>
      <c r="L25" s="7" t="s">
        <v>95</v>
      </c>
      <c r="M25" s="1">
        <v>0</v>
      </c>
      <c r="N25" s="1">
        <v>0</v>
      </c>
      <c r="O25" s="1">
        <v>0</v>
      </c>
      <c r="P25" s="1">
        <v>0</v>
      </c>
      <c r="Q25" s="1">
        <v>0</v>
      </c>
      <c r="R25" s="1">
        <v>0</v>
      </c>
      <c r="S25" s="1">
        <v>0</v>
      </c>
      <c r="T25" s="1">
        <v>0</v>
      </c>
      <c r="U25" s="1">
        <v>0</v>
      </c>
      <c r="V25" s="1">
        <v>1</v>
      </c>
      <c r="W25" s="1">
        <v>0</v>
      </c>
      <c r="X25" s="1">
        <v>0</v>
      </c>
      <c r="Y25" s="10">
        <f>SUM(INDEX(NUT2_to_IC_matrix_population,ROW()-ROW(ref_cell_by_pop),0))</f>
        <v>1</v>
      </c>
    </row>
    <row r="26" spans="5:25" x14ac:dyDescent="0.35">
      <c r="E26" t="s">
        <v>67</v>
      </c>
      <c r="F26" t="s">
        <v>65</v>
      </c>
      <c r="G26">
        <v>1</v>
      </c>
      <c r="H26">
        <v>1</v>
      </c>
    </row>
    <row r="27" spans="5:25" x14ac:dyDescent="0.35">
      <c r="E27" t="s">
        <v>60</v>
      </c>
      <c r="F27" t="s">
        <v>68</v>
      </c>
      <c r="G27">
        <v>0.14050000000000001</v>
      </c>
      <c r="H27">
        <v>8.0299999999999996E-2</v>
      </c>
    </row>
    <row r="28" spans="5:25" ht="29" x14ac:dyDescent="0.35">
      <c r="E28" t="s">
        <v>69</v>
      </c>
      <c r="F28" t="s">
        <v>68</v>
      </c>
      <c r="G28">
        <v>1</v>
      </c>
      <c r="H28">
        <v>1</v>
      </c>
      <c r="L28" s="7" t="s">
        <v>101</v>
      </c>
      <c r="M28" s="7" t="s">
        <v>81</v>
      </c>
      <c r="N28" s="7" t="s">
        <v>86</v>
      </c>
      <c r="O28" s="7" t="s">
        <v>83</v>
      </c>
      <c r="P28" s="7" t="s">
        <v>77</v>
      </c>
      <c r="Q28" s="7" t="s">
        <v>79</v>
      </c>
      <c r="R28" s="7" t="s">
        <v>80</v>
      </c>
      <c r="S28" s="7" t="s">
        <v>92</v>
      </c>
      <c r="T28" s="7" t="s">
        <v>84</v>
      </c>
      <c r="U28" s="7" t="s">
        <v>88</v>
      </c>
      <c r="V28" s="7" t="s">
        <v>94</v>
      </c>
      <c r="W28" s="7" t="s">
        <v>90</v>
      </c>
      <c r="X28" s="7" t="s">
        <v>75</v>
      </c>
    </row>
    <row r="29" spans="5:25" x14ac:dyDescent="0.35">
      <c r="E29" t="s">
        <v>60</v>
      </c>
      <c r="F29" t="s">
        <v>70</v>
      </c>
      <c r="G29">
        <v>0.42720000000000002</v>
      </c>
      <c r="H29">
        <v>0.42309999999999998</v>
      </c>
      <c r="L29" s="7" t="s">
        <v>76</v>
      </c>
      <c r="M29" s="18" cm="1">
        <f t="array" ref="M29:X37">NUT2_to_IC_matrix_population/Weight_sum_by_pop</f>
        <v>0</v>
      </c>
      <c r="N29" s="18">
        <v>0</v>
      </c>
      <c r="O29" s="18">
        <v>0</v>
      </c>
      <c r="P29" s="18">
        <v>0</v>
      </c>
      <c r="Q29" s="18">
        <v>0</v>
      </c>
      <c r="R29" s="18">
        <v>0</v>
      </c>
      <c r="S29" s="18">
        <v>0</v>
      </c>
      <c r="T29" s="18">
        <v>0</v>
      </c>
      <c r="U29" s="18">
        <v>0</v>
      </c>
      <c r="V29" s="18">
        <v>0</v>
      </c>
      <c r="W29" s="18">
        <v>0</v>
      </c>
      <c r="X29" s="18">
        <v>1</v>
      </c>
    </row>
    <row r="30" spans="5:25" x14ac:dyDescent="0.35">
      <c r="E30" t="s">
        <v>66</v>
      </c>
      <c r="F30" t="s">
        <v>71</v>
      </c>
      <c r="G30">
        <v>0.51790000000000003</v>
      </c>
      <c r="H30">
        <v>0.47410000000000002</v>
      </c>
      <c r="L30" s="7" t="s">
        <v>78</v>
      </c>
      <c r="M30" s="18">
        <v>0</v>
      </c>
      <c r="N30" s="18">
        <v>0</v>
      </c>
      <c r="O30" s="18">
        <v>0</v>
      </c>
      <c r="P30" s="18">
        <v>0.33333333333333331</v>
      </c>
      <c r="Q30" s="18">
        <v>0.33333333333333331</v>
      </c>
      <c r="R30" s="18">
        <v>0.33333333333333331</v>
      </c>
      <c r="S30" s="18">
        <v>0</v>
      </c>
      <c r="T30" s="18">
        <v>0</v>
      </c>
      <c r="U30" s="18">
        <v>0</v>
      </c>
      <c r="V30" s="18">
        <v>0</v>
      </c>
      <c r="W30" s="18">
        <v>0</v>
      </c>
      <c r="X30" s="18">
        <v>0</v>
      </c>
    </row>
    <row r="31" spans="5:25" x14ac:dyDescent="0.35">
      <c r="E31" t="s">
        <v>72</v>
      </c>
      <c r="F31" t="s">
        <v>73</v>
      </c>
      <c r="G31">
        <v>1</v>
      </c>
      <c r="H31">
        <v>1</v>
      </c>
      <c r="L31" s="7" t="s">
        <v>82</v>
      </c>
      <c r="M31" s="18">
        <v>0.5780346820809249</v>
      </c>
      <c r="N31" s="18">
        <v>0</v>
      </c>
      <c r="O31" s="18">
        <v>0.42196531791907516</v>
      </c>
      <c r="P31" s="18">
        <v>0</v>
      </c>
      <c r="Q31" s="18">
        <v>0</v>
      </c>
      <c r="R31" s="18">
        <v>0</v>
      </c>
      <c r="S31" s="18">
        <v>0</v>
      </c>
      <c r="T31" s="18">
        <v>0</v>
      </c>
      <c r="U31" s="18">
        <v>0</v>
      </c>
      <c r="V31" s="18">
        <v>0</v>
      </c>
      <c r="W31" s="18">
        <v>0</v>
      </c>
      <c r="X31" s="18">
        <v>0</v>
      </c>
    </row>
    <row r="32" spans="5:25" x14ac:dyDescent="0.35">
      <c r="E32" t="s">
        <v>74</v>
      </c>
      <c r="F32" t="s">
        <v>73</v>
      </c>
      <c r="G32">
        <v>1</v>
      </c>
      <c r="H32">
        <v>1</v>
      </c>
      <c r="L32" s="7" t="s">
        <v>85</v>
      </c>
      <c r="M32" s="18">
        <v>0</v>
      </c>
      <c r="N32" s="18">
        <v>0</v>
      </c>
      <c r="O32" s="18">
        <v>0</v>
      </c>
      <c r="P32" s="18">
        <v>0</v>
      </c>
      <c r="Q32" s="18">
        <v>0</v>
      </c>
      <c r="R32" s="18">
        <v>0</v>
      </c>
      <c r="S32" s="18">
        <v>0</v>
      </c>
      <c r="T32" s="18">
        <v>1</v>
      </c>
      <c r="U32" s="18">
        <v>0</v>
      </c>
      <c r="V32" s="18">
        <v>0</v>
      </c>
      <c r="W32" s="18">
        <v>0</v>
      </c>
      <c r="X32" s="18">
        <v>0</v>
      </c>
    </row>
    <row r="33" spans="5:24" x14ac:dyDescent="0.35">
      <c r="E33" t="s">
        <v>75</v>
      </c>
      <c r="F33" t="s">
        <v>76</v>
      </c>
      <c r="G33">
        <v>0.2989</v>
      </c>
      <c r="H33">
        <v>0.52829999999999999</v>
      </c>
      <c r="L33" s="7" t="s">
        <v>87</v>
      </c>
      <c r="M33" s="18">
        <v>0</v>
      </c>
      <c r="N33" s="18">
        <v>0.66867268472082908</v>
      </c>
      <c r="O33" s="18">
        <v>0.18054162487462388</v>
      </c>
      <c r="P33" s="18">
        <v>0</v>
      </c>
      <c r="Q33" s="18">
        <v>0</v>
      </c>
      <c r="R33" s="18">
        <v>0</v>
      </c>
      <c r="S33" s="18">
        <v>0</v>
      </c>
      <c r="T33" s="18">
        <v>0.15078569040454698</v>
      </c>
      <c r="U33" s="18">
        <v>0</v>
      </c>
      <c r="V33" s="18">
        <v>0</v>
      </c>
      <c r="W33" s="18">
        <v>0</v>
      </c>
      <c r="X33" s="18">
        <v>0</v>
      </c>
    </row>
    <row r="34" spans="5:24" x14ac:dyDescent="0.35">
      <c r="E34" t="s">
        <v>77</v>
      </c>
      <c r="F34" t="s">
        <v>78</v>
      </c>
      <c r="G34">
        <v>1</v>
      </c>
      <c r="H34">
        <v>1</v>
      </c>
      <c r="L34" s="7" t="s">
        <v>89</v>
      </c>
      <c r="M34" s="18">
        <v>0</v>
      </c>
      <c r="N34" s="18">
        <v>0</v>
      </c>
      <c r="O34" s="18">
        <v>0</v>
      </c>
      <c r="P34" s="18">
        <v>0</v>
      </c>
      <c r="Q34" s="18">
        <v>0</v>
      </c>
      <c r="R34" s="18">
        <v>0</v>
      </c>
      <c r="S34" s="18">
        <v>0</v>
      </c>
      <c r="T34" s="18">
        <v>0</v>
      </c>
      <c r="U34" s="18">
        <v>0.63013499782261573</v>
      </c>
      <c r="V34" s="18">
        <v>0</v>
      </c>
      <c r="W34" s="18">
        <v>0.36986500217738422</v>
      </c>
      <c r="X34" s="18">
        <v>0</v>
      </c>
    </row>
    <row r="35" spans="5:24" x14ac:dyDescent="0.35">
      <c r="E35" t="s">
        <v>79</v>
      </c>
      <c r="F35" t="s">
        <v>78</v>
      </c>
      <c r="G35">
        <v>1</v>
      </c>
      <c r="H35">
        <v>1</v>
      </c>
      <c r="L35" s="7" t="s">
        <v>91</v>
      </c>
      <c r="M35" s="18">
        <v>0</v>
      </c>
      <c r="N35" s="18">
        <v>0</v>
      </c>
      <c r="O35" s="18">
        <v>0</v>
      </c>
      <c r="P35" s="18">
        <v>0</v>
      </c>
      <c r="Q35" s="18">
        <v>0</v>
      </c>
      <c r="R35" s="18">
        <v>0</v>
      </c>
      <c r="S35" s="18">
        <v>0</v>
      </c>
      <c r="T35" s="18">
        <v>0</v>
      </c>
      <c r="U35" s="18">
        <v>0</v>
      </c>
      <c r="V35" s="18">
        <v>0</v>
      </c>
      <c r="W35" s="18">
        <v>0.61237570876818148</v>
      </c>
      <c r="X35" s="18">
        <v>0.38762429123181863</v>
      </c>
    </row>
    <row r="36" spans="5:24" x14ac:dyDescent="0.35">
      <c r="E36" t="s">
        <v>80</v>
      </c>
      <c r="F36" t="s">
        <v>78</v>
      </c>
      <c r="G36">
        <v>1</v>
      </c>
      <c r="H36">
        <v>1</v>
      </c>
      <c r="L36" s="7" t="s">
        <v>93</v>
      </c>
      <c r="M36" s="18">
        <v>0</v>
      </c>
      <c r="N36" s="18">
        <v>0</v>
      </c>
      <c r="O36" s="18">
        <v>0</v>
      </c>
      <c r="P36" s="18">
        <v>0</v>
      </c>
      <c r="Q36" s="18">
        <v>0</v>
      </c>
      <c r="R36" s="18">
        <v>0</v>
      </c>
      <c r="S36" s="18">
        <v>0.57563895924476161</v>
      </c>
      <c r="T36" s="18">
        <v>9.8606953718627682E-2</v>
      </c>
      <c r="U36" s="18">
        <v>0.32575408703661057</v>
      </c>
      <c r="V36" s="18">
        <v>0</v>
      </c>
      <c r="W36" s="18">
        <v>0</v>
      </c>
      <c r="X36" s="18">
        <v>0</v>
      </c>
    </row>
    <row r="37" spans="5:24" x14ac:dyDescent="0.35">
      <c r="E37" t="s">
        <v>81</v>
      </c>
      <c r="F37" t="s">
        <v>82</v>
      </c>
      <c r="G37">
        <v>1</v>
      </c>
      <c r="H37">
        <v>1</v>
      </c>
      <c r="L37" s="7" t="s">
        <v>95</v>
      </c>
      <c r="M37" s="18">
        <v>0</v>
      </c>
      <c r="N37" s="18">
        <v>0</v>
      </c>
      <c r="O37" s="18">
        <v>0</v>
      </c>
      <c r="P37" s="18">
        <v>0</v>
      </c>
      <c r="Q37" s="18">
        <v>0</v>
      </c>
      <c r="R37" s="18">
        <v>0</v>
      </c>
      <c r="S37" s="18">
        <v>0</v>
      </c>
      <c r="T37" s="18">
        <v>0</v>
      </c>
      <c r="U37" s="18">
        <v>0</v>
      </c>
      <c r="V37" s="18">
        <v>1</v>
      </c>
      <c r="W37" s="18">
        <v>0</v>
      </c>
      <c r="X37" s="18">
        <v>0</v>
      </c>
    </row>
    <row r="38" spans="5:24" x14ac:dyDescent="0.35">
      <c r="E38" t="s">
        <v>83</v>
      </c>
      <c r="F38" t="s">
        <v>82</v>
      </c>
      <c r="G38">
        <v>0.74080000000000001</v>
      </c>
      <c r="H38">
        <v>0.73</v>
      </c>
    </row>
    <row r="39" spans="5:24" x14ac:dyDescent="0.35">
      <c r="E39" t="s">
        <v>84</v>
      </c>
      <c r="F39" t="s">
        <v>85</v>
      </c>
      <c r="G39">
        <v>0.34549999999999997</v>
      </c>
      <c r="H39">
        <v>0.60319999999999996</v>
      </c>
    </row>
    <row r="40" spans="5:24" x14ac:dyDescent="0.35">
      <c r="E40" t="s">
        <v>86</v>
      </c>
      <c r="F40" t="s">
        <v>87</v>
      </c>
      <c r="G40">
        <v>1</v>
      </c>
      <c r="H40">
        <v>1</v>
      </c>
    </row>
    <row r="41" spans="5:24" x14ac:dyDescent="0.35">
      <c r="E41" t="s">
        <v>83</v>
      </c>
      <c r="F41" t="s">
        <v>87</v>
      </c>
      <c r="G41">
        <v>0.25919999999999999</v>
      </c>
      <c r="H41">
        <v>0.27</v>
      </c>
      <c r="L41" s="7" t="s">
        <v>100</v>
      </c>
      <c r="M41" s="7" t="s">
        <v>61</v>
      </c>
      <c r="N41" s="7" t="s">
        <v>56</v>
      </c>
      <c r="O41" s="7" t="s">
        <v>58</v>
      </c>
      <c r="P41" s="7" t="s">
        <v>60</v>
      </c>
      <c r="Q41" s="7" t="s">
        <v>63</v>
      </c>
      <c r="R41" s="7" t="s">
        <v>69</v>
      </c>
      <c r="S41" s="7" t="s">
        <v>64</v>
      </c>
      <c r="T41" s="7" t="s">
        <v>66</v>
      </c>
      <c r="U41" s="7" t="s">
        <v>72</v>
      </c>
      <c r="V41" s="7" t="s">
        <v>74</v>
      </c>
      <c r="W41" s="7" t="s">
        <v>67</v>
      </c>
      <c r="X41" s="7" t="s">
        <v>102</v>
      </c>
    </row>
    <row r="42" spans="5:24" x14ac:dyDescent="0.35">
      <c r="E42" t="s">
        <v>84</v>
      </c>
      <c r="F42" t="s">
        <v>87</v>
      </c>
      <c r="G42">
        <v>0.53400000000000003</v>
      </c>
      <c r="H42">
        <v>0.22550000000000001</v>
      </c>
      <c r="L42" t="s">
        <v>57</v>
      </c>
      <c r="M42" s="1">
        <v>0</v>
      </c>
      <c r="N42">
        <v>0.24410000000000001</v>
      </c>
      <c r="O42">
        <v>1</v>
      </c>
      <c r="P42" s="1">
        <v>0</v>
      </c>
      <c r="Q42" s="1">
        <v>0</v>
      </c>
      <c r="R42" s="1">
        <v>0</v>
      </c>
      <c r="S42" s="1">
        <v>0</v>
      </c>
      <c r="T42" s="1">
        <v>0</v>
      </c>
      <c r="U42" s="1">
        <v>0</v>
      </c>
      <c r="V42" s="1">
        <v>0</v>
      </c>
      <c r="W42" s="1">
        <v>0</v>
      </c>
      <c r="X42" s="10" cm="1">
        <f t="array" ref="X42">SUM(INDEX(NUT2_to_IC_matrix_population_BE,ROW()-ROW(ref_cell_by_pop_BE),0))</f>
        <v>1.2441</v>
      </c>
    </row>
    <row r="43" spans="5:24" x14ac:dyDescent="0.35">
      <c r="E43" t="s">
        <v>88</v>
      </c>
      <c r="F43" t="s">
        <v>89</v>
      </c>
      <c r="G43">
        <v>0.46110000000000001</v>
      </c>
      <c r="H43">
        <v>0.43409999999999999</v>
      </c>
      <c r="L43" t="s">
        <v>59</v>
      </c>
      <c r="M43" s="1">
        <v>0</v>
      </c>
      <c r="N43">
        <v>0.57130000000000003</v>
      </c>
      <c r="O43" s="1">
        <v>0</v>
      </c>
      <c r="P43">
        <v>0.1724</v>
      </c>
      <c r="Q43" s="1">
        <v>0</v>
      </c>
      <c r="R43" s="1">
        <v>0</v>
      </c>
      <c r="S43" s="1">
        <v>0</v>
      </c>
      <c r="T43" s="1">
        <v>0</v>
      </c>
      <c r="U43" s="1">
        <v>0</v>
      </c>
      <c r="V43" s="1">
        <v>0</v>
      </c>
      <c r="W43" s="1">
        <v>0</v>
      </c>
      <c r="X43" s="10" cm="1">
        <f t="array" ref="X43">SUM(INDEX(NUT2_to_IC_matrix_population_BE,ROW()-ROW(ref_cell_by_pop_BE),0))</f>
        <v>0.74370000000000003</v>
      </c>
    </row>
    <row r="44" spans="5:24" x14ac:dyDescent="0.35">
      <c r="E44" t="s">
        <v>90</v>
      </c>
      <c r="F44" t="s">
        <v>89</v>
      </c>
      <c r="G44">
        <v>0.25659999999999999</v>
      </c>
      <c r="H44">
        <v>0.25480000000000003</v>
      </c>
      <c r="L44" t="s">
        <v>62</v>
      </c>
      <c r="M44">
        <v>1</v>
      </c>
      <c r="N44">
        <v>0.18459999999999999</v>
      </c>
      <c r="O44" s="1">
        <v>0</v>
      </c>
      <c r="P44">
        <v>0.3241</v>
      </c>
      <c r="Q44" s="1">
        <v>1</v>
      </c>
      <c r="R44" s="1">
        <v>0</v>
      </c>
      <c r="S44" s="1">
        <v>0</v>
      </c>
      <c r="T44" s="1">
        <v>0</v>
      </c>
      <c r="U44" s="1">
        <v>0</v>
      </c>
      <c r="V44" s="1">
        <v>0</v>
      </c>
      <c r="W44" s="1">
        <v>0</v>
      </c>
      <c r="X44" s="10" cm="1">
        <f t="array" ref="X44">SUM(INDEX(NUT2_to_IC_matrix_population_BE,ROW()-ROW(ref_cell_by_pop_BE),0))</f>
        <v>2.5087000000000002</v>
      </c>
    </row>
    <row r="45" spans="5:24" x14ac:dyDescent="0.35">
      <c r="E45" t="s">
        <v>90</v>
      </c>
      <c r="F45" t="s">
        <v>91</v>
      </c>
      <c r="G45">
        <v>0.74339999999999995</v>
      </c>
      <c r="H45">
        <v>0.74519999999999997</v>
      </c>
      <c r="L45" t="s">
        <v>65</v>
      </c>
      <c r="M45" s="1">
        <v>0</v>
      </c>
      <c r="N45" s="1">
        <v>0</v>
      </c>
      <c r="O45" s="1">
        <v>0</v>
      </c>
      <c r="P45" s="1">
        <v>0</v>
      </c>
      <c r="Q45" s="1">
        <v>0</v>
      </c>
      <c r="R45" s="1">
        <v>0</v>
      </c>
      <c r="S45" s="1">
        <v>1</v>
      </c>
      <c r="T45">
        <v>0.52590000000000003</v>
      </c>
      <c r="U45" s="1">
        <v>0</v>
      </c>
      <c r="V45" s="1">
        <v>0</v>
      </c>
      <c r="W45" s="1">
        <v>1</v>
      </c>
      <c r="X45" s="10" cm="1">
        <f t="array" ref="X45">SUM(INDEX(NUT2_to_IC_matrix_population_BE,ROW()-ROW(ref_cell_by_pop_BE),0))</f>
        <v>2.5259</v>
      </c>
    </row>
    <row r="46" spans="5:24" x14ac:dyDescent="0.35">
      <c r="E46" t="s">
        <v>75</v>
      </c>
      <c r="F46" t="s">
        <v>91</v>
      </c>
      <c r="G46">
        <v>0.70109999999999995</v>
      </c>
      <c r="H46">
        <v>0.47170000000000001</v>
      </c>
      <c r="L46" t="s">
        <v>68</v>
      </c>
      <c r="M46" s="1">
        <v>0</v>
      </c>
      <c r="N46" s="1">
        <v>0</v>
      </c>
      <c r="O46" s="1">
        <v>0</v>
      </c>
      <c r="P46">
        <v>8.0299999999999996E-2</v>
      </c>
      <c r="Q46" s="1">
        <v>0</v>
      </c>
      <c r="R46">
        <v>1</v>
      </c>
      <c r="S46" s="1">
        <v>0</v>
      </c>
      <c r="T46" s="1">
        <v>0</v>
      </c>
      <c r="U46" s="1">
        <v>0</v>
      </c>
      <c r="V46" s="1">
        <v>0</v>
      </c>
      <c r="W46" s="1">
        <v>0</v>
      </c>
      <c r="X46" s="10" cm="1">
        <f t="array" ref="X46">SUM(INDEX(NUT2_to_IC_matrix_population_BE,ROW()-ROW(ref_cell_by_pop_BE),0))</f>
        <v>1.0803</v>
      </c>
    </row>
    <row r="47" spans="5:24" x14ac:dyDescent="0.35">
      <c r="E47" t="s">
        <v>92</v>
      </c>
      <c r="F47" t="s">
        <v>93</v>
      </c>
      <c r="G47">
        <v>1</v>
      </c>
      <c r="H47">
        <v>1</v>
      </c>
      <c r="L47" t="s">
        <v>70</v>
      </c>
      <c r="M47" s="1">
        <v>0</v>
      </c>
      <c r="N47" s="1">
        <v>0</v>
      </c>
      <c r="O47" s="1">
        <v>0</v>
      </c>
      <c r="P47">
        <v>0.42309999999999998</v>
      </c>
      <c r="Q47" s="1">
        <v>0</v>
      </c>
      <c r="R47" s="1">
        <v>0</v>
      </c>
      <c r="S47" s="1">
        <v>0</v>
      </c>
      <c r="T47" s="1">
        <v>0</v>
      </c>
      <c r="U47" s="1">
        <v>0</v>
      </c>
      <c r="V47" s="1">
        <v>0</v>
      </c>
      <c r="W47" s="1">
        <v>0</v>
      </c>
      <c r="X47" s="10" cm="1">
        <f t="array" ref="X47">SUM(INDEX(NUT2_to_IC_matrix_population_BE,ROW()-ROW(ref_cell_by_pop_BE),0))</f>
        <v>0.42309999999999998</v>
      </c>
    </row>
    <row r="48" spans="5:24" x14ac:dyDescent="0.35">
      <c r="E48" t="s">
        <v>84</v>
      </c>
      <c r="F48" t="s">
        <v>93</v>
      </c>
      <c r="G48">
        <v>0.1205</v>
      </c>
      <c r="H48">
        <v>0.17130000000000001</v>
      </c>
      <c r="L48" t="s">
        <v>71</v>
      </c>
      <c r="M48" s="1">
        <v>0</v>
      </c>
      <c r="N48" s="1">
        <v>0</v>
      </c>
      <c r="O48" s="1">
        <v>0</v>
      </c>
      <c r="P48" s="1">
        <v>0</v>
      </c>
      <c r="Q48" s="1">
        <v>0</v>
      </c>
      <c r="R48" s="1">
        <v>0</v>
      </c>
      <c r="S48" s="1">
        <v>0</v>
      </c>
      <c r="T48">
        <v>0.47410000000000002</v>
      </c>
      <c r="U48" s="1">
        <v>0</v>
      </c>
      <c r="V48" s="1">
        <v>0</v>
      </c>
      <c r="W48" s="1">
        <v>0</v>
      </c>
      <c r="X48" s="10" cm="1">
        <f t="array" ref="X48">SUM(INDEX(NUT2_to_IC_matrix_population_BE,ROW()-ROW(ref_cell_by_pop_BE),0))</f>
        <v>0.47410000000000002</v>
      </c>
    </row>
    <row r="49" spans="5:24" x14ac:dyDescent="0.35">
      <c r="E49" t="s">
        <v>88</v>
      </c>
      <c r="F49" t="s">
        <v>93</v>
      </c>
      <c r="G49">
        <v>0.53890000000000005</v>
      </c>
      <c r="H49">
        <v>0.56589999999999996</v>
      </c>
      <c r="L49" t="s">
        <v>73</v>
      </c>
      <c r="M49" s="1">
        <v>0</v>
      </c>
      <c r="N49" s="1">
        <v>0</v>
      </c>
      <c r="O49" s="1">
        <v>0</v>
      </c>
      <c r="P49" s="1">
        <v>0</v>
      </c>
      <c r="Q49" s="1">
        <v>0</v>
      </c>
      <c r="R49" s="1">
        <v>0</v>
      </c>
      <c r="S49" s="1">
        <v>0</v>
      </c>
      <c r="T49" s="1">
        <v>0</v>
      </c>
      <c r="U49" s="1">
        <v>1</v>
      </c>
      <c r="V49" s="1">
        <v>1</v>
      </c>
      <c r="W49" s="1">
        <v>0</v>
      </c>
      <c r="X49" s="10" cm="1">
        <f t="array" ref="X49">SUM(INDEX(NUT2_to_IC_matrix_population_BE,ROW()-ROW(ref_cell_by_pop_BE),0))</f>
        <v>2</v>
      </c>
    </row>
    <row r="50" spans="5:24" x14ac:dyDescent="0.35">
      <c r="E50" t="s">
        <v>94</v>
      </c>
      <c r="F50" t="s">
        <v>95</v>
      </c>
      <c r="G50">
        <v>1</v>
      </c>
      <c r="H50">
        <v>1</v>
      </c>
    </row>
    <row r="53" spans="5:24" ht="29" x14ac:dyDescent="0.35">
      <c r="L53" s="7" t="s">
        <v>101</v>
      </c>
      <c r="M53" s="7" t="s">
        <v>61</v>
      </c>
      <c r="N53" s="7" t="s">
        <v>56</v>
      </c>
      <c r="O53" s="7" t="s">
        <v>58</v>
      </c>
      <c r="P53" s="7" t="s">
        <v>60</v>
      </c>
      <c r="Q53" s="7" t="s">
        <v>63</v>
      </c>
      <c r="R53" s="7" t="s">
        <v>69</v>
      </c>
      <c r="S53" s="7" t="s">
        <v>64</v>
      </c>
      <c r="T53" s="7" t="s">
        <v>66</v>
      </c>
      <c r="U53" s="7" t="s">
        <v>72</v>
      </c>
      <c r="V53" s="7" t="s">
        <v>74</v>
      </c>
      <c r="W53" s="7" t="s">
        <v>67</v>
      </c>
    </row>
    <row r="54" spans="5:24" x14ac:dyDescent="0.35">
      <c r="L54" s="7" t="s">
        <v>57</v>
      </c>
      <c r="M54" s="10" cm="1">
        <f t="array" ref="M54:W61">NUT2_to_IC_matrix_population_BE/Weight_sum_by_pop_BE</f>
        <v>0</v>
      </c>
      <c r="N54" s="10">
        <v>0.19620609275781692</v>
      </c>
      <c r="O54" s="10">
        <v>0.80379390724218314</v>
      </c>
      <c r="P54" s="10">
        <v>0</v>
      </c>
      <c r="Q54" s="10">
        <v>0</v>
      </c>
      <c r="R54" s="10">
        <v>0</v>
      </c>
      <c r="S54" s="10">
        <v>0</v>
      </c>
      <c r="T54" s="10">
        <v>0</v>
      </c>
      <c r="U54" s="10">
        <v>0</v>
      </c>
      <c r="V54" s="10">
        <v>0</v>
      </c>
      <c r="W54" s="10">
        <v>0</v>
      </c>
    </row>
    <row r="55" spans="5:24" x14ac:dyDescent="0.35">
      <c r="L55" s="7" t="s">
        <v>59</v>
      </c>
      <c r="M55" s="10">
        <v>0</v>
      </c>
      <c r="N55" s="10">
        <v>0.76818609654430547</v>
      </c>
      <c r="O55" s="10">
        <v>0</v>
      </c>
      <c r="P55" s="10">
        <v>0.2318139034556945</v>
      </c>
      <c r="Q55" s="10">
        <v>0</v>
      </c>
      <c r="R55" s="10">
        <v>0</v>
      </c>
      <c r="S55" s="10">
        <v>0</v>
      </c>
      <c r="T55" s="10">
        <v>0</v>
      </c>
      <c r="U55" s="10">
        <v>0</v>
      </c>
      <c r="V55" s="10">
        <v>0</v>
      </c>
      <c r="W55" s="10">
        <v>0</v>
      </c>
    </row>
    <row r="56" spans="5:24" x14ac:dyDescent="0.35">
      <c r="L56" s="7" t="s">
        <v>62</v>
      </c>
      <c r="M56" s="10">
        <v>0.39861282736078446</v>
      </c>
      <c r="N56" s="10">
        <v>7.3583927930800805E-2</v>
      </c>
      <c r="O56" s="10">
        <v>0</v>
      </c>
      <c r="P56" s="10">
        <v>0.12919041734763023</v>
      </c>
      <c r="Q56" s="10">
        <v>0.39861282736078446</v>
      </c>
      <c r="R56" s="10">
        <v>0</v>
      </c>
      <c r="S56" s="10">
        <v>0</v>
      </c>
      <c r="T56" s="10">
        <v>0</v>
      </c>
      <c r="U56" s="10">
        <v>0</v>
      </c>
      <c r="V56" s="10">
        <v>0</v>
      </c>
      <c r="W56" s="10">
        <v>0</v>
      </c>
    </row>
    <row r="57" spans="5:24" x14ac:dyDescent="0.35">
      <c r="L57" s="7" t="s">
        <v>65</v>
      </c>
      <c r="M57" s="10">
        <v>0</v>
      </c>
      <c r="N57" s="10">
        <v>0</v>
      </c>
      <c r="O57" s="10">
        <v>0</v>
      </c>
      <c r="P57" s="10">
        <v>0</v>
      </c>
      <c r="Q57" s="10">
        <v>0</v>
      </c>
      <c r="R57" s="10">
        <v>0</v>
      </c>
      <c r="S57" s="10">
        <v>0.3958984916267469</v>
      </c>
      <c r="T57" s="10">
        <v>0.20820301674650621</v>
      </c>
      <c r="U57" s="10">
        <v>0</v>
      </c>
      <c r="V57" s="10">
        <v>0</v>
      </c>
      <c r="W57" s="10">
        <v>0.3958984916267469</v>
      </c>
    </row>
    <row r="58" spans="5:24" x14ac:dyDescent="0.35">
      <c r="L58" s="7" t="s">
        <v>68</v>
      </c>
      <c r="M58" s="10">
        <v>0</v>
      </c>
      <c r="N58" s="10">
        <v>0</v>
      </c>
      <c r="O58" s="10">
        <v>0</v>
      </c>
      <c r="P58" s="10">
        <v>7.4331204295103204E-2</v>
      </c>
      <c r="Q58" s="10">
        <v>0</v>
      </c>
      <c r="R58" s="10">
        <v>0.9256687957048968</v>
      </c>
      <c r="S58" s="10">
        <v>0</v>
      </c>
      <c r="T58" s="10">
        <v>0</v>
      </c>
      <c r="U58" s="10">
        <v>0</v>
      </c>
      <c r="V58" s="10">
        <v>0</v>
      </c>
      <c r="W58" s="10">
        <v>0</v>
      </c>
    </row>
    <row r="59" spans="5:24" x14ac:dyDescent="0.35">
      <c r="L59" s="7" t="s">
        <v>70</v>
      </c>
      <c r="M59" s="10">
        <v>0</v>
      </c>
      <c r="N59" s="10">
        <v>0</v>
      </c>
      <c r="O59" s="10">
        <v>0</v>
      </c>
      <c r="P59" s="10">
        <v>1</v>
      </c>
      <c r="Q59" s="10">
        <v>0</v>
      </c>
      <c r="R59" s="10">
        <v>0</v>
      </c>
      <c r="S59" s="10">
        <v>0</v>
      </c>
      <c r="T59" s="10">
        <v>0</v>
      </c>
      <c r="U59" s="10">
        <v>0</v>
      </c>
      <c r="V59" s="10">
        <v>0</v>
      </c>
      <c r="W59" s="10">
        <v>0</v>
      </c>
    </row>
    <row r="60" spans="5:24" x14ac:dyDescent="0.35">
      <c r="L60" s="7" t="s">
        <v>71</v>
      </c>
      <c r="M60" s="10">
        <v>0</v>
      </c>
      <c r="N60" s="10">
        <v>0</v>
      </c>
      <c r="O60" s="10">
        <v>0</v>
      </c>
      <c r="P60" s="10">
        <v>0</v>
      </c>
      <c r="Q60" s="10">
        <v>0</v>
      </c>
      <c r="R60" s="10">
        <v>0</v>
      </c>
      <c r="S60" s="10">
        <v>0</v>
      </c>
      <c r="T60" s="10">
        <v>1</v>
      </c>
      <c r="U60" s="10">
        <v>0</v>
      </c>
      <c r="V60" s="10">
        <v>0</v>
      </c>
      <c r="W60" s="10">
        <v>0</v>
      </c>
    </row>
    <row r="61" spans="5:24" x14ac:dyDescent="0.35">
      <c r="L61" s="7" t="s">
        <v>73</v>
      </c>
      <c r="M61" s="10">
        <v>0</v>
      </c>
      <c r="N61" s="10">
        <v>0</v>
      </c>
      <c r="O61" s="10">
        <v>0</v>
      </c>
      <c r="P61" s="10">
        <v>0</v>
      </c>
      <c r="Q61" s="10">
        <v>0</v>
      </c>
      <c r="R61" s="10">
        <v>0</v>
      </c>
      <c r="S61" s="10">
        <v>0</v>
      </c>
      <c r="T61" s="10">
        <v>0</v>
      </c>
      <c r="U61" s="10">
        <v>0.5</v>
      </c>
      <c r="V61" s="10">
        <v>0.5</v>
      </c>
      <c r="W61" s="10">
        <v>0</v>
      </c>
    </row>
  </sheetData>
  <mergeCells count="1">
    <mergeCell ref="E8:S1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80D8B-BECA-4516-8471-332F0EE27325}">
  <sheetPr>
    <tabColor theme="0"/>
  </sheetPr>
  <dimension ref="D5:Z148"/>
  <sheetViews>
    <sheetView tabSelected="1" topLeftCell="E102" workbookViewId="0">
      <selection activeCell="P140" sqref="P140:P148"/>
    </sheetView>
  </sheetViews>
  <sheetFormatPr defaultColWidth="9.1796875" defaultRowHeight="14.5" x14ac:dyDescent="0.35"/>
  <cols>
    <col min="1" max="3" width="9.1796875" style="4"/>
    <col min="4" max="4" width="9.1796875" style="4" customWidth="1"/>
    <col min="5" max="7" width="9.1796875" style="4"/>
    <col min="8" max="11" width="11.36328125" style="4" bestFit="1" customWidth="1"/>
    <col min="12" max="13" width="11.453125" style="4" bestFit="1" customWidth="1"/>
    <col min="14" max="19" width="11.36328125" style="4" bestFit="1" customWidth="1"/>
    <col min="20" max="20" width="16.6328125" style="4" bestFit="1" customWidth="1"/>
    <col min="21" max="21" width="17.36328125" style="4" bestFit="1" customWidth="1"/>
    <col min="22" max="16384" width="9.1796875" style="4"/>
  </cols>
  <sheetData>
    <row r="5" spans="4:14" ht="15" thickBot="1" x14ac:dyDescent="0.4"/>
    <row r="6" spans="4:14" ht="15.5" thickTop="1" thickBot="1" x14ac:dyDescent="0.4">
      <c r="D6" s="13" t="s">
        <v>25</v>
      </c>
      <c r="E6" s="13"/>
      <c r="F6" s="13"/>
      <c r="G6" s="13"/>
      <c r="H6" s="13"/>
      <c r="I6" s="13"/>
      <c r="J6" s="13"/>
      <c r="K6" s="13"/>
      <c r="L6" s="13"/>
      <c r="M6" s="13"/>
      <c r="N6" s="13"/>
    </row>
    <row r="7" spans="4:14" ht="15.5" thickTop="1" thickBot="1" x14ac:dyDescent="0.4">
      <c r="D7" s="13"/>
      <c r="E7" s="13"/>
      <c r="F7" s="13"/>
      <c r="G7" s="13"/>
      <c r="H7" s="13"/>
      <c r="I7" s="13"/>
      <c r="J7" s="13"/>
      <c r="K7" s="13"/>
      <c r="L7" s="13"/>
      <c r="M7" s="13"/>
      <c r="N7" s="13"/>
    </row>
    <row r="8" spans="4:14" ht="15.5" thickTop="1" thickBot="1" x14ac:dyDescent="0.4">
      <c r="D8" s="13"/>
      <c r="E8" s="13"/>
      <c r="F8" s="13"/>
      <c r="G8" s="13"/>
      <c r="H8" s="13"/>
      <c r="I8" s="13"/>
      <c r="J8" s="13"/>
      <c r="K8" s="13"/>
      <c r="L8" s="13"/>
      <c r="M8" s="13"/>
      <c r="N8" s="13"/>
    </row>
    <row r="9" spans="4:14" ht="15" thickTop="1" x14ac:dyDescent="0.35"/>
    <row r="32" spans="13:13" x14ac:dyDescent="0.35">
      <c r="M32" s="19" t="s">
        <v>106</v>
      </c>
    </row>
    <row r="36" spans="8:26" x14ac:dyDescent="0.35">
      <c r="M36" s="19" t="s">
        <v>107</v>
      </c>
    </row>
    <row r="43" spans="8:26" x14ac:dyDescent="0.35">
      <c r="H43" s="32" t="s">
        <v>136</v>
      </c>
      <c r="I43" s="32" t="s">
        <v>136</v>
      </c>
      <c r="J43" s="31" t="s">
        <v>137</v>
      </c>
      <c r="K43" s="31" t="s">
        <v>109</v>
      </c>
      <c r="L43" s="31" t="s">
        <v>138</v>
      </c>
      <c r="M43" s="31" t="s">
        <v>109</v>
      </c>
      <c r="N43" s="31" t="s">
        <v>139</v>
      </c>
      <c r="O43" s="31" t="s">
        <v>109</v>
      </c>
      <c r="P43" s="31" t="s">
        <v>140</v>
      </c>
      <c r="Q43" s="31" t="s">
        <v>109</v>
      </c>
      <c r="R43" s="31" t="s">
        <v>141</v>
      </c>
      <c r="S43" s="31" t="s">
        <v>109</v>
      </c>
    </row>
    <row r="44" spans="8:26" x14ac:dyDescent="0.35">
      <c r="H44" s="32" t="s">
        <v>136</v>
      </c>
      <c r="I44" s="32" t="s">
        <v>136</v>
      </c>
      <c r="J44" s="31" t="s">
        <v>137</v>
      </c>
      <c r="K44" s="31" t="s">
        <v>109</v>
      </c>
      <c r="L44" s="31" t="s">
        <v>138</v>
      </c>
      <c r="M44" s="31" t="s">
        <v>109</v>
      </c>
      <c r="N44" s="31" t="s">
        <v>139</v>
      </c>
      <c r="O44" s="31" t="s">
        <v>109</v>
      </c>
      <c r="P44" s="31" t="s">
        <v>140</v>
      </c>
      <c r="Q44" s="31" t="s">
        <v>109</v>
      </c>
      <c r="R44" s="31" t="s">
        <v>141</v>
      </c>
      <c r="S44" s="31" t="s">
        <v>109</v>
      </c>
    </row>
    <row r="45" spans="8:26" x14ac:dyDescent="0.35">
      <c r="H45" s="35" t="s">
        <v>142</v>
      </c>
      <c r="I45" s="35" t="s">
        <v>114</v>
      </c>
      <c r="J45" s="37" t="s">
        <v>109</v>
      </c>
      <c r="K45" s="37" t="s">
        <v>109</v>
      </c>
      <c r="L45" s="37" t="s">
        <v>109</v>
      </c>
      <c r="M45" s="37" t="s">
        <v>109</v>
      </c>
      <c r="N45" s="37" t="s">
        <v>109</v>
      </c>
      <c r="O45" s="37" t="s">
        <v>109</v>
      </c>
      <c r="P45" s="37" t="s">
        <v>109</v>
      </c>
      <c r="Q45" s="37" t="s">
        <v>109</v>
      </c>
      <c r="R45" s="37" t="s">
        <v>109</v>
      </c>
      <c r="S45" s="37" t="s">
        <v>109</v>
      </c>
      <c r="T45" s="34" t="s">
        <v>151</v>
      </c>
      <c r="U45" s="22"/>
      <c r="V45" s="22"/>
      <c r="W45" s="22"/>
      <c r="X45" s="22"/>
      <c r="Y45" s="22"/>
      <c r="Z45" s="22"/>
    </row>
    <row r="46" spans="8:26" x14ac:dyDescent="0.35">
      <c r="H46" s="36" t="s">
        <v>143</v>
      </c>
      <c r="I46" s="36" t="s">
        <v>115</v>
      </c>
      <c r="J46" s="39">
        <v>978932</v>
      </c>
      <c r="K46" s="39" t="s">
        <v>109</v>
      </c>
      <c r="L46" s="39">
        <v>330313</v>
      </c>
      <c r="M46" s="39" t="s">
        <v>109</v>
      </c>
      <c r="N46" s="39">
        <v>886660</v>
      </c>
      <c r="O46" s="39" t="s">
        <v>109</v>
      </c>
      <c r="P46" s="39">
        <v>6047551</v>
      </c>
      <c r="Q46" s="39" t="s">
        <v>109</v>
      </c>
      <c r="R46" s="39">
        <v>16499</v>
      </c>
      <c r="S46" s="39" t="s">
        <v>109</v>
      </c>
      <c r="T46" s="22"/>
      <c r="U46" s="22"/>
      <c r="V46" s="22"/>
      <c r="W46" s="22"/>
      <c r="X46" s="22"/>
      <c r="Y46" s="22"/>
      <c r="Z46" s="22"/>
    </row>
    <row r="47" spans="8:26" x14ac:dyDescent="0.35">
      <c r="H47" s="36" t="s">
        <v>61</v>
      </c>
      <c r="I47" s="36" t="s">
        <v>116</v>
      </c>
      <c r="J47" s="38">
        <v>81061</v>
      </c>
      <c r="K47" s="38" t="s">
        <v>109</v>
      </c>
      <c r="L47" s="38">
        <v>7292</v>
      </c>
      <c r="M47" s="38" t="s">
        <v>109</v>
      </c>
      <c r="N47" s="38">
        <v>73608</v>
      </c>
      <c r="O47" s="38" t="s">
        <v>109</v>
      </c>
      <c r="P47" s="38">
        <v>496819</v>
      </c>
      <c r="Q47" s="38" t="s">
        <v>109</v>
      </c>
      <c r="R47" s="38">
        <v>1978</v>
      </c>
      <c r="S47" s="38" t="s">
        <v>109</v>
      </c>
      <c r="T47" s="22"/>
      <c r="U47" s="22"/>
      <c r="V47" s="22"/>
      <c r="W47" s="22"/>
      <c r="X47" s="22"/>
      <c r="Y47" s="22"/>
      <c r="Z47" s="22"/>
    </row>
    <row r="48" spans="8:26" x14ac:dyDescent="0.35">
      <c r="H48" s="36" t="s">
        <v>56</v>
      </c>
      <c r="I48" s="36" t="s">
        <v>117</v>
      </c>
      <c r="J48" s="39">
        <v>149839</v>
      </c>
      <c r="K48" s="39" t="s">
        <v>109</v>
      </c>
      <c r="L48" s="39">
        <v>61980</v>
      </c>
      <c r="M48" s="39" t="s">
        <v>109</v>
      </c>
      <c r="N48" s="39">
        <v>134447</v>
      </c>
      <c r="O48" s="39" t="s">
        <v>109</v>
      </c>
      <c r="P48" s="39">
        <v>953623</v>
      </c>
      <c r="Q48" s="39" t="s">
        <v>109</v>
      </c>
      <c r="R48" s="39">
        <v>3831</v>
      </c>
      <c r="S48" s="39" t="s">
        <v>109</v>
      </c>
      <c r="T48" s="22"/>
      <c r="U48" s="22"/>
      <c r="V48" s="22"/>
      <c r="W48" s="22"/>
      <c r="X48" s="22"/>
      <c r="Y48" s="22"/>
      <c r="Z48" s="22"/>
    </row>
    <row r="49" spans="8:26" x14ac:dyDescent="0.35">
      <c r="H49" s="36" t="s">
        <v>58</v>
      </c>
      <c r="I49" s="36" t="s">
        <v>118</v>
      </c>
      <c r="J49" s="38">
        <v>93939</v>
      </c>
      <c r="K49" s="38" t="s">
        <v>109</v>
      </c>
      <c r="L49" s="38">
        <v>36205</v>
      </c>
      <c r="M49" s="38" t="s">
        <v>109</v>
      </c>
      <c r="N49" s="38">
        <v>85934</v>
      </c>
      <c r="O49" s="38" t="s">
        <v>109</v>
      </c>
      <c r="P49" s="38">
        <v>492744</v>
      </c>
      <c r="Q49" s="38" t="s">
        <v>109</v>
      </c>
      <c r="R49" s="38">
        <v>1280</v>
      </c>
      <c r="S49" s="38" t="s">
        <v>109</v>
      </c>
      <c r="T49" s="22"/>
      <c r="U49" s="22"/>
      <c r="V49" s="22"/>
      <c r="W49" s="22"/>
      <c r="X49" s="22"/>
      <c r="Y49" s="22"/>
      <c r="Z49" s="22"/>
    </row>
    <row r="50" spans="8:26" x14ac:dyDescent="0.35">
      <c r="H50" s="36" t="s">
        <v>60</v>
      </c>
      <c r="I50" s="36" t="s">
        <v>119</v>
      </c>
      <c r="J50" s="39">
        <v>135701</v>
      </c>
      <c r="K50" s="39" t="s">
        <v>109</v>
      </c>
      <c r="L50" s="39">
        <v>55633</v>
      </c>
      <c r="M50" s="39" t="s">
        <v>109</v>
      </c>
      <c r="N50" s="39">
        <v>121368</v>
      </c>
      <c r="O50" s="39" t="s">
        <v>109</v>
      </c>
      <c r="P50" s="39">
        <v>747000</v>
      </c>
      <c r="Q50" s="39" t="s">
        <v>109</v>
      </c>
      <c r="R50" s="39">
        <v>1480</v>
      </c>
      <c r="S50" s="39" t="s">
        <v>109</v>
      </c>
      <c r="T50" s="22"/>
      <c r="U50" s="22"/>
      <c r="V50" s="22"/>
      <c r="W50" s="22"/>
      <c r="X50" s="22"/>
      <c r="Y50" s="22"/>
      <c r="Z50" s="22"/>
    </row>
    <row r="51" spans="8:26" x14ac:dyDescent="0.35">
      <c r="H51" s="36" t="s">
        <v>63</v>
      </c>
      <c r="I51" s="36" t="s">
        <v>120</v>
      </c>
      <c r="J51" s="38">
        <v>99602</v>
      </c>
      <c r="K51" s="38" t="s">
        <v>109</v>
      </c>
      <c r="L51" s="38">
        <v>30164</v>
      </c>
      <c r="M51" s="38" t="s">
        <v>109</v>
      </c>
      <c r="N51" s="38">
        <v>91127</v>
      </c>
      <c r="O51" s="38" t="s">
        <v>109</v>
      </c>
      <c r="P51" s="38">
        <v>858786</v>
      </c>
      <c r="Q51" s="38" t="s">
        <v>109</v>
      </c>
      <c r="R51" s="38">
        <v>1170</v>
      </c>
      <c r="S51" s="38" t="s">
        <v>109</v>
      </c>
      <c r="T51" s="22"/>
      <c r="U51" s="22"/>
      <c r="V51" s="22"/>
      <c r="W51" s="22"/>
      <c r="X51" s="22"/>
      <c r="Y51" s="22"/>
      <c r="Z51" s="22"/>
    </row>
    <row r="52" spans="8:26" x14ac:dyDescent="0.35">
      <c r="H52" s="36" t="s">
        <v>69</v>
      </c>
      <c r="I52" s="36" t="s">
        <v>121</v>
      </c>
      <c r="J52" s="39">
        <v>135142</v>
      </c>
      <c r="K52" s="39" t="s">
        <v>109</v>
      </c>
      <c r="L52" s="39">
        <v>57569</v>
      </c>
      <c r="M52" s="39" t="s">
        <v>109</v>
      </c>
      <c r="N52" s="39">
        <v>122164</v>
      </c>
      <c r="O52" s="39" t="s">
        <v>109</v>
      </c>
      <c r="P52" s="39">
        <v>627331</v>
      </c>
      <c r="Q52" s="39" t="s">
        <v>109</v>
      </c>
      <c r="R52" s="39">
        <v>1283</v>
      </c>
      <c r="S52" s="39" t="s">
        <v>109</v>
      </c>
      <c r="T52" s="22"/>
      <c r="U52" s="22"/>
      <c r="V52" s="22"/>
      <c r="W52" s="22"/>
      <c r="X52" s="22"/>
      <c r="Y52" s="22"/>
      <c r="Z52" s="22"/>
    </row>
    <row r="53" spans="8:26" x14ac:dyDescent="0.35">
      <c r="H53" s="36" t="s">
        <v>64</v>
      </c>
      <c r="I53" s="36" t="s">
        <v>122</v>
      </c>
      <c r="J53" s="38">
        <v>26615</v>
      </c>
      <c r="K53" s="38" t="s">
        <v>109</v>
      </c>
      <c r="L53" s="38">
        <v>7465</v>
      </c>
      <c r="M53" s="38" t="s">
        <v>109</v>
      </c>
      <c r="N53" s="38">
        <v>24517</v>
      </c>
      <c r="O53" s="38" t="s">
        <v>109</v>
      </c>
      <c r="P53" s="38">
        <v>218431</v>
      </c>
      <c r="Q53" s="38" t="s">
        <v>109</v>
      </c>
      <c r="R53" s="38">
        <v>620</v>
      </c>
      <c r="S53" s="38" t="s">
        <v>109</v>
      </c>
      <c r="T53" s="22"/>
      <c r="U53" s="22"/>
      <c r="V53" s="22"/>
      <c r="W53" s="22"/>
      <c r="X53" s="22"/>
      <c r="Y53" s="22"/>
      <c r="Z53" s="22"/>
    </row>
    <row r="54" spans="8:26" x14ac:dyDescent="0.35">
      <c r="H54" s="36" t="s">
        <v>66</v>
      </c>
      <c r="I54" s="36" t="s">
        <v>123</v>
      </c>
      <c r="J54" s="39">
        <v>98284</v>
      </c>
      <c r="K54" s="39" t="s">
        <v>109</v>
      </c>
      <c r="L54" s="39">
        <v>22936</v>
      </c>
      <c r="M54" s="39" t="s">
        <v>109</v>
      </c>
      <c r="N54" s="39">
        <v>89633</v>
      </c>
      <c r="O54" s="39" t="s">
        <v>109</v>
      </c>
      <c r="P54" s="39">
        <v>672834</v>
      </c>
      <c r="Q54" s="39" t="s">
        <v>109</v>
      </c>
      <c r="R54" s="39">
        <v>1112</v>
      </c>
      <c r="S54" s="39" t="s">
        <v>109</v>
      </c>
      <c r="T54" s="22"/>
      <c r="U54" s="22"/>
      <c r="V54" s="22"/>
      <c r="W54" s="22"/>
      <c r="X54" s="22"/>
      <c r="Y54" s="22"/>
      <c r="Z54" s="22"/>
    </row>
    <row r="55" spans="8:26" x14ac:dyDescent="0.35">
      <c r="H55" s="36" t="s">
        <v>72</v>
      </c>
      <c r="I55" s="36" t="s">
        <v>124</v>
      </c>
      <c r="J55" s="38">
        <v>85563</v>
      </c>
      <c r="K55" s="38" t="s">
        <v>109</v>
      </c>
      <c r="L55" s="38">
        <v>28608</v>
      </c>
      <c r="M55" s="38" t="s">
        <v>109</v>
      </c>
      <c r="N55" s="38">
        <v>76791</v>
      </c>
      <c r="O55" s="38" t="s">
        <v>109</v>
      </c>
      <c r="P55" s="38">
        <v>555199</v>
      </c>
      <c r="Q55" s="38" t="s">
        <v>109</v>
      </c>
      <c r="R55" s="38">
        <v>956</v>
      </c>
      <c r="S55" s="38" t="s">
        <v>109</v>
      </c>
      <c r="T55" s="22"/>
      <c r="U55" s="22"/>
      <c r="V55" s="22"/>
      <c r="W55" s="22"/>
      <c r="X55" s="22"/>
      <c r="Y55" s="22"/>
      <c r="Z55" s="22"/>
    </row>
    <row r="56" spans="8:26" x14ac:dyDescent="0.35">
      <c r="H56" s="36" t="s">
        <v>74</v>
      </c>
      <c r="I56" s="36" t="s">
        <v>125</v>
      </c>
      <c r="J56" s="39">
        <v>27568</v>
      </c>
      <c r="K56" s="39" t="s">
        <v>109</v>
      </c>
      <c r="L56" s="39">
        <v>9615</v>
      </c>
      <c r="M56" s="39" t="s">
        <v>109</v>
      </c>
      <c r="N56" s="39">
        <v>25200</v>
      </c>
      <c r="O56" s="39" t="s">
        <v>109</v>
      </c>
      <c r="P56" s="39">
        <v>154576</v>
      </c>
      <c r="Q56" s="39" t="s">
        <v>109</v>
      </c>
      <c r="R56" s="39">
        <v>410</v>
      </c>
      <c r="S56" s="39" t="s">
        <v>109</v>
      </c>
      <c r="T56" s="22"/>
      <c r="U56" s="22"/>
      <c r="V56" s="22"/>
      <c r="W56" s="22"/>
      <c r="X56" s="22"/>
      <c r="Y56" s="22"/>
      <c r="Z56" s="22"/>
    </row>
    <row r="57" spans="8:26" x14ac:dyDescent="0.35">
      <c r="H57" s="36" t="s">
        <v>67</v>
      </c>
      <c r="I57" s="36" t="s">
        <v>126</v>
      </c>
      <c r="J57" s="38">
        <v>44264</v>
      </c>
      <c r="K57" s="38" t="s">
        <v>109</v>
      </c>
      <c r="L57" s="38">
        <v>12289</v>
      </c>
      <c r="M57" s="38" t="s">
        <v>109</v>
      </c>
      <c r="N57" s="38">
        <v>40691</v>
      </c>
      <c r="O57" s="38" t="s">
        <v>109</v>
      </c>
      <c r="P57" s="38">
        <v>259074</v>
      </c>
      <c r="Q57" s="38" t="s">
        <v>109</v>
      </c>
      <c r="R57" s="38">
        <v>2351</v>
      </c>
      <c r="S57" s="38" t="s">
        <v>109</v>
      </c>
      <c r="T57" s="22"/>
      <c r="U57" s="22"/>
      <c r="V57" s="22"/>
      <c r="W57" s="22"/>
      <c r="X57" s="22"/>
      <c r="Y57" s="22"/>
      <c r="Z57" s="22"/>
    </row>
    <row r="58" spans="8:26" x14ac:dyDescent="0.35">
      <c r="H58" s="36" t="s">
        <v>144</v>
      </c>
      <c r="I58" s="36" t="s">
        <v>127</v>
      </c>
      <c r="J58" s="39">
        <v>1067998</v>
      </c>
      <c r="K58" s="39" t="s">
        <v>109</v>
      </c>
      <c r="L58" s="39">
        <v>1266175</v>
      </c>
      <c r="M58" s="39" t="s">
        <v>109</v>
      </c>
      <c r="N58" s="39">
        <v>1006477</v>
      </c>
      <c r="O58" s="39" t="s">
        <v>109</v>
      </c>
      <c r="P58" s="39">
        <v>9067393</v>
      </c>
      <c r="Q58" s="39" t="s">
        <v>109</v>
      </c>
      <c r="R58" s="39">
        <v>8675</v>
      </c>
      <c r="S58" s="39" t="s">
        <v>109</v>
      </c>
      <c r="T58" s="22"/>
      <c r="U58" s="22"/>
      <c r="V58" s="22"/>
      <c r="W58" s="22"/>
      <c r="X58" s="22"/>
      <c r="Y58" s="22"/>
      <c r="Z58" s="22"/>
    </row>
    <row r="59" spans="8:26" x14ac:dyDescent="0.35">
      <c r="H59" s="36" t="s">
        <v>81</v>
      </c>
      <c r="I59" s="36" t="s">
        <v>30</v>
      </c>
      <c r="J59" s="38">
        <v>37308</v>
      </c>
      <c r="K59" s="38" t="s">
        <v>109</v>
      </c>
      <c r="L59" s="38">
        <v>51689</v>
      </c>
      <c r="M59" s="38" t="s">
        <v>109</v>
      </c>
      <c r="N59" s="38">
        <v>35592</v>
      </c>
      <c r="O59" s="38" t="s">
        <v>109</v>
      </c>
      <c r="P59" s="38">
        <v>297952</v>
      </c>
      <c r="Q59" s="38" t="s">
        <v>109</v>
      </c>
      <c r="R59" s="38">
        <v>380</v>
      </c>
      <c r="S59" s="38" t="s">
        <v>109</v>
      </c>
      <c r="T59" s="22"/>
      <c r="U59" s="22"/>
      <c r="V59" s="22"/>
      <c r="W59" s="22"/>
      <c r="X59" s="22"/>
      <c r="Y59" s="22"/>
      <c r="Z59" s="22"/>
    </row>
    <row r="60" spans="8:26" x14ac:dyDescent="0.35">
      <c r="H60" s="36" t="s">
        <v>86</v>
      </c>
      <c r="I60" s="36" t="s">
        <v>128</v>
      </c>
      <c r="J60" s="39">
        <v>53049</v>
      </c>
      <c r="K60" s="39" t="s">
        <v>109</v>
      </c>
      <c r="L60" s="39">
        <v>71479</v>
      </c>
      <c r="M60" s="39" t="s">
        <v>109</v>
      </c>
      <c r="N60" s="39">
        <v>50198</v>
      </c>
      <c r="O60" s="39" t="s">
        <v>109</v>
      </c>
      <c r="P60" s="39">
        <v>353630</v>
      </c>
      <c r="Q60" s="39" t="s">
        <v>109</v>
      </c>
      <c r="R60" s="39" t="s">
        <v>145</v>
      </c>
      <c r="S60" s="39" t="s">
        <v>146</v>
      </c>
      <c r="T60" s="22"/>
      <c r="U60" s="22"/>
      <c r="V60" s="22"/>
      <c r="W60" s="22"/>
      <c r="X60" s="22"/>
      <c r="Y60" s="22"/>
      <c r="Z60" s="22"/>
    </row>
    <row r="61" spans="8:26" x14ac:dyDescent="0.35">
      <c r="H61" s="36" t="s">
        <v>83</v>
      </c>
      <c r="I61" s="36" t="s">
        <v>31</v>
      </c>
      <c r="J61" s="38">
        <v>34626</v>
      </c>
      <c r="K61" s="38" t="s">
        <v>109</v>
      </c>
      <c r="L61" s="38">
        <v>57730</v>
      </c>
      <c r="M61" s="38" t="s">
        <v>109</v>
      </c>
      <c r="N61" s="38">
        <v>32983</v>
      </c>
      <c r="O61" s="38" t="s">
        <v>109</v>
      </c>
      <c r="P61" s="38">
        <v>283704</v>
      </c>
      <c r="Q61" s="38" t="s">
        <v>109</v>
      </c>
      <c r="R61" s="38" t="s">
        <v>145</v>
      </c>
      <c r="S61" s="38" t="s">
        <v>146</v>
      </c>
      <c r="T61" s="22"/>
      <c r="U61" s="22"/>
      <c r="V61" s="22"/>
      <c r="W61" s="22"/>
      <c r="X61" s="22"/>
      <c r="Y61" s="22"/>
      <c r="Z61" s="22"/>
    </row>
    <row r="62" spans="8:26" x14ac:dyDescent="0.35">
      <c r="H62" s="36" t="s">
        <v>77</v>
      </c>
      <c r="I62" s="36" t="s">
        <v>32</v>
      </c>
      <c r="J62" s="39">
        <v>78394</v>
      </c>
      <c r="K62" s="39" t="s">
        <v>109</v>
      </c>
      <c r="L62" s="39">
        <v>116706</v>
      </c>
      <c r="M62" s="39" t="s">
        <v>109</v>
      </c>
      <c r="N62" s="39">
        <v>74068</v>
      </c>
      <c r="O62" s="39" t="s">
        <v>109</v>
      </c>
      <c r="P62" s="39">
        <v>617947</v>
      </c>
      <c r="Q62" s="39" t="s">
        <v>109</v>
      </c>
      <c r="R62" s="39">
        <v>690</v>
      </c>
      <c r="S62" s="39" t="s">
        <v>109</v>
      </c>
      <c r="T62" s="22"/>
      <c r="U62" s="22"/>
      <c r="V62" s="22"/>
      <c r="W62" s="22"/>
      <c r="X62" s="22"/>
      <c r="Y62" s="22"/>
      <c r="Z62" s="22"/>
    </row>
    <row r="63" spans="8:26" x14ac:dyDescent="0.35">
      <c r="H63" s="36" t="s">
        <v>79</v>
      </c>
      <c r="I63" s="36" t="s">
        <v>34</v>
      </c>
      <c r="J63" s="38">
        <v>133559</v>
      </c>
      <c r="K63" s="38" t="s">
        <v>109</v>
      </c>
      <c r="L63" s="38">
        <v>185578</v>
      </c>
      <c r="M63" s="38" t="s">
        <v>109</v>
      </c>
      <c r="N63" s="38">
        <v>123515</v>
      </c>
      <c r="O63" s="38" t="s">
        <v>109</v>
      </c>
      <c r="P63" s="38">
        <v>1107501</v>
      </c>
      <c r="Q63" s="38" t="s">
        <v>109</v>
      </c>
      <c r="R63" s="38">
        <v>411</v>
      </c>
      <c r="S63" s="38" t="s">
        <v>109</v>
      </c>
      <c r="T63" s="22"/>
      <c r="U63" s="22"/>
      <c r="V63" s="22"/>
      <c r="W63" s="22"/>
      <c r="X63" s="22"/>
      <c r="Y63" s="22"/>
      <c r="Z63" s="22"/>
    </row>
    <row r="64" spans="8:26" x14ac:dyDescent="0.35">
      <c r="H64" s="36" t="s">
        <v>80</v>
      </c>
      <c r="I64" s="36" t="s">
        <v>33</v>
      </c>
      <c r="J64" s="39">
        <v>46628</v>
      </c>
      <c r="K64" s="39" t="s">
        <v>109</v>
      </c>
      <c r="L64" s="39">
        <v>26329</v>
      </c>
      <c r="M64" s="39" t="s">
        <v>109</v>
      </c>
      <c r="N64" s="39">
        <v>45445</v>
      </c>
      <c r="O64" s="39" t="s">
        <v>109</v>
      </c>
      <c r="P64" s="39">
        <v>374310</v>
      </c>
      <c r="Q64" s="39" t="s">
        <v>109</v>
      </c>
      <c r="R64" s="39">
        <v>71</v>
      </c>
      <c r="S64" s="39" t="s">
        <v>109</v>
      </c>
      <c r="T64" s="22"/>
      <c r="U64" s="22"/>
      <c r="V64" s="22"/>
      <c r="W64" s="22"/>
      <c r="X64" s="22"/>
      <c r="Y64" s="22"/>
      <c r="Z64" s="22"/>
    </row>
    <row r="65" spans="7:26" x14ac:dyDescent="0.35">
      <c r="H65" s="36" t="s">
        <v>92</v>
      </c>
      <c r="I65" s="36" t="s">
        <v>129</v>
      </c>
      <c r="J65" s="38">
        <v>94821</v>
      </c>
      <c r="K65" s="38" t="s">
        <v>109</v>
      </c>
      <c r="L65" s="38">
        <v>75066</v>
      </c>
      <c r="M65" s="38" t="s">
        <v>109</v>
      </c>
      <c r="N65" s="38">
        <v>89662</v>
      </c>
      <c r="O65" s="38" t="s">
        <v>109</v>
      </c>
      <c r="P65" s="38">
        <v>772001</v>
      </c>
      <c r="Q65" s="38" t="s">
        <v>109</v>
      </c>
      <c r="R65" s="38">
        <v>852</v>
      </c>
      <c r="S65" s="38" t="s">
        <v>109</v>
      </c>
      <c r="T65" s="22"/>
      <c r="U65" s="22"/>
      <c r="V65" s="22"/>
      <c r="W65" s="22"/>
      <c r="X65" s="22"/>
      <c r="Y65" s="22"/>
      <c r="Z65" s="22"/>
    </row>
    <row r="66" spans="7:26" x14ac:dyDescent="0.35">
      <c r="H66" s="36" t="s">
        <v>84</v>
      </c>
      <c r="I66" s="36" t="s">
        <v>35</v>
      </c>
      <c r="J66" s="39">
        <v>141490</v>
      </c>
      <c r="K66" s="39" t="s">
        <v>109</v>
      </c>
      <c r="L66" s="39">
        <v>132009</v>
      </c>
      <c r="M66" s="39" t="s">
        <v>109</v>
      </c>
      <c r="N66" s="39">
        <v>134000</v>
      </c>
      <c r="O66" s="39" t="s">
        <v>109</v>
      </c>
      <c r="P66" s="39">
        <v>1295744</v>
      </c>
      <c r="Q66" s="39" t="s">
        <v>109</v>
      </c>
      <c r="R66" s="39">
        <v>2685</v>
      </c>
      <c r="S66" s="39" t="s">
        <v>109</v>
      </c>
      <c r="T66" s="22"/>
      <c r="U66" s="22"/>
      <c r="V66" s="22"/>
      <c r="W66" s="22"/>
      <c r="X66" s="22"/>
      <c r="Y66" s="22"/>
      <c r="Z66" s="22"/>
    </row>
    <row r="67" spans="7:26" x14ac:dyDescent="0.35">
      <c r="H67" s="36" t="s">
        <v>88</v>
      </c>
      <c r="I67" s="36" t="s">
        <v>130</v>
      </c>
      <c r="J67" s="38">
        <v>179340</v>
      </c>
      <c r="K67" s="38" t="s">
        <v>109</v>
      </c>
      <c r="L67" s="38">
        <v>196293</v>
      </c>
      <c r="M67" s="38" t="s">
        <v>109</v>
      </c>
      <c r="N67" s="38">
        <v>169377</v>
      </c>
      <c r="O67" s="38" t="s">
        <v>109</v>
      </c>
      <c r="P67" s="38">
        <v>1666292</v>
      </c>
      <c r="Q67" s="38" t="s">
        <v>109</v>
      </c>
      <c r="R67" s="38">
        <v>1098</v>
      </c>
      <c r="S67" s="38" t="s">
        <v>109</v>
      </c>
    </row>
    <row r="68" spans="7:26" x14ac:dyDescent="0.35">
      <c r="H68" s="36" t="s">
        <v>94</v>
      </c>
      <c r="I68" s="36" t="s">
        <v>36</v>
      </c>
      <c r="J68" s="39">
        <v>27981</v>
      </c>
      <c r="K68" s="39" t="s">
        <v>109</v>
      </c>
      <c r="L68" s="39">
        <v>37683</v>
      </c>
      <c r="M68" s="39" t="s">
        <v>109</v>
      </c>
      <c r="N68" s="39">
        <v>26653</v>
      </c>
      <c r="O68" s="39" t="s">
        <v>109</v>
      </c>
      <c r="P68" s="39">
        <v>213890</v>
      </c>
      <c r="Q68" s="39" t="s">
        <v>109</v>
      </c>
      <c r="R68" s="39">
        <v>115</v>
      </c>
      <c r="S68" s="39" t="s">
        <v>109</v>
      </c>
    </row>
    <row r="69" spans="7:26" x14ac:dyDescent="0.35">
      <c r="H69" s="36" t="s">
        <v>90</v>
      </c>
      <c r="I69" s="36" t="s">
        <v>37</v>
      </c>
      <c r="J69" s="38">
        <v>181799</v>
      </c>
      <c r="K69" s="38" t="s">
        <v>109</v>
      </c>
      <c r="L69" s="38">
        <v>221748</v>
      </c>
      <c r="M69" s="38" t="s">
        <v>109</v>
      </c>
      <c r="N69" s="38">
        <v>169856</v>
      </c>
      <c r="O69" s="38" t="s">
        <v>109</v>
      </c>
      <c r="P69" s="38">
        <v>1475404</v>
      </c>
      <c r="Q69" s="38" t="s">
        <v>109</v>
      </c>
      <c r="R69" s="38">
        <v>493</v>
      </c>
      <c r="S69" s="38" t="s">
        <v>109</v>
      </c>
    </row>
    <row r="70" spans="7:26" x14ac:dyDescent="0.35">
      <c r="H70" s="36" t="s">
        <v>75</v>
      </c>
      <c r="I70" s="36" t="s">
        <v>131</v>
      </c>
      <c r="J70" s="39">
        <v>59003</v>
      </c>
      <c r="K70" s="39" t="s">
        <v>109</v>
      </c>
      <c r="L70" s="39">
        <v>93865</v>
      </c>
      <c r="M70" s="39" t="s">
        <v>109</v>
      </c>
      <c r="N70" s="39">
        <v>55128</v>
      </c>
      <c r="O70" s="39" t="s">
        <v>109</v>
      </c>
      <c r="P70" s="39">
        <v>609018</v>
      </c>
      <c r="Q70" s="39" t="s">
        <v>109</v>
      </c>
      <c r="R70" s="39">
        <v>362</v>
      </c>
      <c r="S70" s="39" t="s">
        <v>109</v>
      </c>
    </row>
    <row r="74" spans="7:26" x14ac:dyDescent="0.35">
      <c r="H74" s="7" t="s">
        <v>148</v>
      </c>
      <c r="I74" s="7" t="s">
        <v>149</v>
      </c>
      <c r="J74" s="7" t="s">
        <v>150</v>
      </c>
      <c r="K74" s="7" t="s">
        <v>147</v>
      </c>
      <c r="P74" s="7" t="s">
        <v>148</v>
      </c>
      <c r="Q74" s="7" t="s">
        <v>149</v>
      </c>
      <c r="R74" s="7" t="s">
        <v>150</v>
      </c>
      <c r="S74" s="7" t="s">
        <v>147</v>
      </c>
    </row>
    <row r="75" spans="7:26" ht="14.5" customHeight="1" x14ac:dyDescent="0.35">
      <c r="G75" s="7" t="s">
        <v>143</v>
      </c>
      <c r="H75" s="1">
        <v>978932</v>
      </c>
      <c r="I75" s="1">
        <v>16499</v>
      </c>
      <c r="J75" s="1">
        <v>978932</v>
      </c>
      <c r="K75" s="1">
        <v>886660</v>
      </c>
      <c r="O75" s="7" t="s">
        <v>144</v>
      </c>
      <c r="P75" s="1">
        <v>9067393</v>
      </c>
      <c r="Q75" s="1">
        <v>8675</v>
      </c>
      <c r="R75" s="39">
        <v>1067998</v>
      </c>
      <c r="S75" s="1">
        <v>1006477</v>
      </c>
      <c r="T75" s="24" t="s">
        <v>152</v>
      </c>
      <c r="U75" s="24"/>
      <c r="V75" s="24"/>
      <c r="W75" s="24"/>
    </row>
    <row r="76" spans="7:26" ht="15" thickBot="1" x14ac:dyDescent="0.4">
      <c r="G76" s="7" t="s">
        <v>61</v>
      </c>
      <c r="H76" s="1">
        <v>81061</v>
      </c>
      <c r="I76" s="1">
        <v>1978</v>
      </c>
      <c r="J76" s="1">
        <v>81061</v>
      </c>
      <c r="K76" s="1">
        <v>73608</v>
      </c>
      <c r="O76" s="7" t="s">
        <v>81</v>
      </c>
      <c r="P76" s="1">
        <v>297952</v>
      </c>
      <c r="Q76" s="1">
        <v>380</v>
      </c>
      <c r="R76" s="38">
        <v>37308</v>
      </c>
      <c r="S76" s="1">
        <v>35592</v>
      </c>
      <c r="T76" s="24"/>
      <c r="U76" s="24"/>
      <c r="V76" s="24"/>
      <c r="W76" s="24"/>
    </row>
    <row r="77" spans="7:26" ht="15.5" thickTop="1" thickBot="1" x14ac:dyDescent="0.4">
      <c r="G77" s="7" t="s">
        <v>56</v>
      </c>
      <c r="H77" s="1">
        <v>149839</v>
      </c>
      <c r="I77" s="1">
        <v>3831</v>
      </c>
      <c r="J77" s="1">
        <v>149839</v>
      </c>
      <c r="K77" s="1">
        <v>134447</v>
      </c>
      <c r="O77" s="7" t="s">
        <v>86</v>
      </c>
      <c r="P77" s="1">
        <v>353630</v>
      </c>
      <c r="Q77" s="9">
        <f>(8675-7157)/2</f>
        <v>759</v>
      </c>
      <c r="R77" s="39">
        <v>53049</v>
      </c>
      <c r="S77" s="1">
        <v>50198</v>
      </c>
      <c r="T77" s="24"/>
      <c r="U77" s="24"/>
      <c r="V77" s="24"/>
      <c r="W77" s="24"/>
    </row>
    <row r="78" spans="7:26" ht="15.5" thickTop="1" thickBot="1" x14ac:dyDescent="0.4">
      <c r="G78" s="7" t="s">
        <v>58</v>
      </c>
      <c r="H78" s="1">
        <v>93939</v>
      </c>
      <c r="I78" s="1">
        <v>1280</v>
      </c>
      <c r="J78" s="1">
        <v>93939</v>
      </c>
      <c r="K78" s="1">
        <v>85934</v>
      </c>
      <c r="O78" s="7" t="s">
        <v>83</v>
      </c>
      <c r="P78" s="1">
        <v>283704</v>
      </c>
      <c r="Q78" s="9">
        <f>(8675-7157)/2</f>
        <v>759</v>
      </c>
      <c r="R78" s="38">
        <v>34626</v>
      </c>
      <c r="S78" s="1">
        <v>32983</v>
      </c>
      <c r="T78" s="24"/>
      <c r="U78" s="24"/>
      <c r="V78" s="24"/>
      <c r="W78" s="24"/>
    </row>
    <row r="79" spans="7:26" ht="15" thickTop="1" x14ac:dyDescent="0.35">
      <c r="G79" s="7" t="s">
        <v>60</v>
      </c>
      <c r="H79" s="1">
        <v>135701</v>
      </c>
      <c r="I79" s="1">
        <v>1480</v>
      </c>
      <c r="J79" s="1">
        <v>135701</v>
      </c>
      <c r="K79" s="1">
        <v>121368</v>
      </c>
      <c r="O79" s="7" t="s">
        <v>77</v>
      </c>
      <c r="P79" s="1">
        <v>617947</v>
      </c>
      <c r="Q79" s="1">
        <v>690</v>
      </c>
      <c r="R79" s="39">
        <v>78394</v>
      </c>
      <c r="S79" s="1">
        <v>74068</v>
      </c>
      <c r="T79" s="24"/>
      <c r="U79" s="24"/>
      <c r="V79" s="24"/>
      <c r="W79" s="24"/>
    </row>
    <row r="80" spans="7:26" x14ac:dyDescent="0.35">
      <c r="G80" s="7" t="s">
        <v>63</v>
      </c>
      <c r="H80" s="1">
        <v>99602</v>
      </c>
      <c r="I80" s="1">
        <v>1170</v>
      </c>
      <c r="J80" s="1">
        <v>99602</v>
      </c>
      <c r="K80" s="1">
        <v>91127</v>
      </c>
      <c r="O80" s="7" t="s">
        <v>79</v>
      </c>
      <c r="P80" s="1">
        <v>1107501</v>
      </c>
      <c r="Q80" s="1">
        <v>411</v>
      </c>
      <c r="R80" s="38">
        <v>133559</v>
      </c>
      <c r="S80" s="1">
        <v>123515</v>
      </c>
      <c r="T80" s="24"/>
      <c r="U80" s="24"/>
      <c r="V80" s="24"/>
      <c r="W80" s="24"/>
    </row>
    <row r="81" spans="7:23" x14ac:dyDescent="0.35">
      <c r="G81" s="7" t="s">
        <v>69</v>
      </c>
      <c r="H81" s="1">
        <v>135142</v>
      </c>
      <c r="I81" s="1">
        <v>1283</v>
      </c>
      <c r="J81" s="1">
        <v>135142</v>
      </c>
      <c r="K81" s="1">
        <v>122164</v>
      </c>
      <c r="O81" s="7" t="s">
        <v>80</v>
      </c>
      <c r="P81" s="1">
        <v>374310</v>
      </c>
      <c r="Q81" s="1">
        <v>71</v>
      </c>
      <c r="R81" s="39">
        <v>46628</v>
      </c>
      <c r="S81" s="1">
        <v>45445</v>
      </c>
      <c r="T81" s="24"/>
      <c r="U81" s="24"/>
      <c r="V81" s="24"/>
      <c r="W81" s="24"/>
    </row>
    <row r="82" spans="7:23" x14ac:dyDescent="0.35">
      <c r="G82" s="7" t="s">
        <v>64</v>
      </c>
      <c r="H82" s="1">
        <v>26615</v>
      </c>
      <c r="I82" s="1">
        <v>620</v>
      </c>
      <c r="J82" s="1">
        <v>26615</v>
      </c>
      <c r="K82" s="1">
        <v>24517</v>
      </c>
      <c r="O82" s="7" t="s">
        <v>92</v>
      </c>
      <c r="P82" s="1">
        <v>772001</v>
      </c>
      <c r="Q82" s="1">
        <v>852</v>
      </c>
      <c r="R82" s="38">
        <v>94821</v>
      </c>
      <c r="S82" s="1">
        <v>89662</v>
      </c>
      <c r="T82" s="24"/>
      <c r="U82" s="24"/>
      <c r="V82" s="24"/>
      <c r="W82" s="24"/>
    </row>
    <row r="83" spans="7:23" x14ac:dyDescent="0.35">
      <c r="G83" s="7" t="s">
        <v>66</v>
      </c>
      <c r="H83" s="1">
        <v>98284</v>
      </c>
      <c r="I83" s="1">
        <v>1112</v>
      </c>
      <c r="J83" s="1">
        <v>98284</v>
      </c>
      <c r="K83" s="1">
        <v>89633</v>
      </c>
      <c r="O83" s="7" t="s">
        <v>84</v>
      </c>
      <c r="P83" s="1">
        <v>1295744</v>
      </c>
      <c r="Q83" s="1">
        <v>2685</v>
      </c>
      <c r="R83" s="39">
        <v>141490</v>
      </c>
      <c r="S83" s="1">
        <v>134000</v>
      </c>
      <c r="T83" s="24"/>
      <c r="U83" s="24"/>
      <c r="V83" s="24"/>
      <c r="W83" s="24"/>
    </row>
    <row r="84" spans="7:23" x14ac:dyDescent="0.35">
      <c r="G84" s="7" t="s">
        <v>72</v>
      </c>
      <c r="H84" s="1">
        <v>85563</v>
      </c>
      <c r="I84" s="1">
        <v>956</v>
      </c>
      <c r="J84" s="1">
        <v>85563</v>
      </c>
      <c r="K84" s="1">
        <v>76791</v>
      </c>
      <c r="O84" s="7" t="s">
        <v>88</v>
      </c>
      <c r="P84" s="1">
        <v>1666292</v>
      </c>
      <c r="Q84" s="1">
        <v>1098</v>
      </c>
      <c r="R84" s="38">
        <v>179340</v>
      </c>
      <c r="S84" s="1">
        <v>169377</v>
      </c>
      <c r="T84" s="24"/>
      <c r="U84" s="24"/>
      <c r="V84" s="24"/>
      <c r="W84" s="24"/>
    </row>
    <row r="85" spans="7:23" x14ac:dyDescent="0.35">
      <c r="G85" s="7" t="s">
        <v>74</v>
      </c>
      <c r="H85" s="1">
        <v>27568</v>
      </c>
      <c r="I85" s="1">
        <v>410</v>
      </c>
      <c r="J85" s="1">
        <v>27568</v>
      </c>
      <c r="K85" s="1">
        <v>25200</v>
      </c>
      <c r="O85" s="7" t="s">
        <v>94</v>
      </c>
      <c r="P85" s="1">
        <v>213890</v>
      </c>
      <c r="Q85" s="1">
        <v>115</v>
      </c>
      <c r="R85" s="39">
        <v>27981</v>
      </c>
      <c r="S85" s="1">
        <v>26653</v>
      </c>
      <c r="T85" s="24"/>
      <c r="U85" s="24"/>
      <c r="V85" s="24"/>
      <c r="W85" s="24"/>
    </row>
    <row r="86" spans="7:23" x14ac:dyDescent="0.35">
      <c r="G86" s="7" t="s">
        <v>67</v>
      </c>
      <c r="H86" s="1">
        <v>44264</v>
      </c>
      <c r="I86" s="1">
        <v>2351</v>
      </c>
      <c r="J86" s="1">
        <v>44264</v>
      </c>
      <c r="K86" s="1">
        <v>40691</v>
      </c>
      <c r="O86" s="7" t="s">
        <v>90</v>
      </c>
      <c r="P86" s="1">
        <v>1475404</v>
      </c>
      <c r="Q86" s="1">
        <v>493</v>
      </c>
      <c r="R86" s="38">
        <v>181799</v>
      </c>
      <c r="S86" s="1">
        <v>169856</v>
      </c>
      <c r="T86" s="24"/>
      <c r="U86" s="24"/>
      <c r="V86" s="24"/>
      <c r="W86" s="24"/>
    </row>
    <row r="87" spans="7:23" x14ac:dyDescent="0.35">
      <c r="O87" s="7" t="s">
        <v>75</v>
      </c>
      <c r="P87" s="1">
        <v>609018</v>
      </c>
      <c r="Q87" s="1">
        <v>362</v>
      </c>
      <c r="R87" s="39">
        <v>59003</v>
      </c>
      <c r="S87" s="1">
        <v>55128</v>
      </c>
      <c r="T87" s="24"/>
      <c r="U87" s="24"/>
      <c r="V87" s="24"/>
      <c r="W87" s="24"/>
    </row>
    <row r="88" spans="7:23" x14ac:dyDescent="0.35">
      <c r="P88" s="33"/>
      <c r="Q88" s="33"/>
      <c r="R88" s="33"/>
      <c r="S88" s="33"/>
    </row>
    <row r="89" spans="7:23" x14ac:dyDescent="0.35">
      <c r="H89" s="7" t="s">
        <v>148</v>
      </c>
      <c r="I89" s="7" t="s">
        <v>149</v>
      </c>
      <c r="J89" s="7" t="s">
        <v>150</v>
      </c>
      <c r="K89" s="7" t="s">
        <v>147</v>
      </c>
      <c r="P89" s="7" t="s">
        <v>148</v>
      </c>
      <c r="Q89" s="7" t="s">
        <v>149</v>
      </c>
      <c r="R89" s="7" t="s">
        <v>150</v>
      </c>
      <c r="S89" s="7" t="s">
        <v>147</v>
      </c>
    </row>
    <row r="90" spans="7:23" x14ac:dyDescent="0.35">
      <c r="G90" s="7" t="s">
        <v>61</v>
      </c>
      <c r="H90" s="18">
        <f t="shared" ref="H90:K90" si="0">H76/H$75</f>
        <v>8.2805547269881874E-2</v>
      </c>
      <c r="I90" s="18">
        <f t="shared" si="0"/>
        <v>0.11988605370022426</v>
      </c>
      <c r="J90" s="18">
        <f t="shared" si="0"/>
        <v>8.2805547269881874E-2</v>
      </c>
      <c r="K90" s="18">
        <f t="shared" si="0"/>
        <v>8.3017165542598068E-2</v>
      </c>
      <c r="O90" s="7" t="s">
        <v>81</v>
      </c>
      <c r="P90" s="18">
        <f>P76/P$75</f>
        <v>3.285972053929944E-2</v>
      </c>
      <c r="Q90" s="18">
        <f>Q76/Q$75</f>
        <v>4.3804034582132563E-2</v>
      </c>
      <c r="R90" s="18">
        <f>R76/R$75</f>
        <v>3.4932649686609897E-2</v>
      </c>
      <c r="S90" s="18">
        <f>S76/S$75</f>
        <v>3.5362954145996384E-2</v>
      </c>
    </row>
    <row r="91" spans="7:23" x14ac:dyDescent="0.35">
      <c r="G91" s="7" t="s">
        <v>56</v>
      </c>
      <c r="H91" s="18">
        <f t="shared" ref="H91:K91" si="1">H77/H$75</f>
        <v>0.15306374702226508</v>
      </c>
      <c r="I91" s="18">
        <f t="shared" si="1"/>
        <v>0.23219589066004001</v>
      </c>
      <c r="J91" s="18">
        <f t="shared" si="1"/>
        <v>0.15306374702226508</v>
      </c>
      <c r="K91" s="18">
        <f t="shared" si="1"/>
        <v>0.15163309498567659</v>
      </c>
      <c r="O91" s="7" t="s">
        <v>86</v>
      </c>
      <c r="P91" s="18">
        <f>P77/P$75</f>
        <v>3.9000184507277894E-2</v>
      </c>
      <c r="Q91" s="18">
        <f>Q77/Q$75</f>
        <v>8.7492795389048986E-2</v>
      </c>
      <c r="R91" s="18">
        <f>R77/R$75</f>
        <v>4.9671441332287139E-2</v>
      </c>
      <c r="S91" s="18">
        <f>S77/S$75</f>
        <v>4.987495988482598E-2</v>
      </c>
    </row>
    <row r="92" spans="7:23" x14ac:dyDescent="0.35">
      <c r="G92" s="7" t="s">
        <v>58</v>
      </c>
      <c r="H92" s="18">
        <f t="shared" ref="H92:K92" si="2">H78/H$75</f>
        <v>9.5960700028193985E-2</v>
      </c>
      <c r="I92" s="18">
        <f t="shared" si="2"/>
        <v>7.7580459421783141E-2</v>
      </c>
      <c r="J92" s="18">
        <f t="shared" si="2"/>
        <v>9.5960700028193985E-2</v>
      </c>
      <c r="K92" s="18">
        <f t="shared" si="2"/>
        <v>9.6918773825367108E-2</v>
      </c>
      <c r="O92" s="7" t="s">
        <v>83</v>
      </c>
      <c r="P92" s="18">
        <f>P78/P$75</f>
        <v>3.1288375831950814E-2</v>
      </c>
      <c r="Q92" s="18">
        <f>Q78/Q$75</f>
        <v>8.7492795389048986E-2</v>
      </c>
      <c r="R92" s="18">
        <f>R78/R$75</f>
        <v>3.242140902885586E-2</v>
      </c>
      <c r="S92" s="18">
        <f>S78/S$75</f>
        <v>3.2770743891812726E-2</v>
      </c>
    </row>
    <row r="93" spans="7:23" x14ac:dyDescent="0.35">
      <c r="G93" s="7" t="s">
        <v>60</v>
      </c>
      <c r="H93" s="18">
        <f t="shared" ref="H93:K93" si="3">H79/H$75</f>
        <v>0.13862147728340682</v>
      </c>
      <c r="I93" s="18">
        <f t="shared" si="3"/>
        <v>8.9702406206436755E-2</v>
      </c>
      <c r="J93" s="18">
        <f t="shared" si="3"/>
        <v>0.13862147728340682</v>
      </c>
      <c r="K93" s="18">
        <f t="shared" si="3"/>
        <v>0.13688223219723455</v>
      </c>
      <c r="O93" s="7" t="s">
        <v>77</v>
      </c>
      <c r="P93" s="18">
        <f>P79/P$75</f>
        <v>6.8150459564287114E-2</v>
      </c>
      <c r="Q93" s="18">
        <f>Q79/Q$75</f>
        <v>7.953890489913544E-2</v>
      </c>
      <c r="R93" s="18">
        <f>R79/R$75</f>
        <v>7.3402759181196972E-2</v>
      </c>
      <c r="S93" s="18">
        <f>S79/S$75</f>
        <v>7.3591348833604742E-2</v>
      </c>
    </row>
    <row r="94" spans="7:23" x14ac:dyDescent="0.35">
      <c r="G94" s="7" t="s">
        <v>63</v>
      </c>
      <c r="H94" s="18">
        <f t="shared" ref="H94:K94" si="4">H80/H$75</f>
        <v>0.10174557579075973</v>
      </c>
      <c r="I94" s="18">
        <f t="shared" si="4"/>
        <v>7.091338869022365E-2</v>
      </c>
      <c r="J94" s="18">
        <f t="shared" si="4"/>
        <v>0.10174557579075973</v>
      </c>
      <c r="K94" s="18">
        <f t="shared" si="4"/>
        <v>0.10277558477883292</v>
      </c>
      <c r="O94" s="7" t="s">
        <v>79</v>
      </c>
      <c r="P94" s="18">
        <f>P80/P$75</f>
        <v>0.1221410608319282</v>
      </c>
      <c r="Q94" s="18">
        <f>Q80/Q$75</f>
        <v>4.7377521613832851E-2</v>
      </c>
      <c r="R94" s="18">
        <f>R80/R$75</f>
        <v>0.12505547763198058</v>
      </c>
      <c r="S94" s="18">
        <f>S80/S$75</f>
        <v>0.12272014164258101</v>
      </c>
    </row>
    <row r="95" spans="7:23" x14ac:dyDescent="0.35">
      <c r="G95" s="7" t="s">
        <v>69</v>
      </c>
      <c r="H95" s="18">
        <f t="shared" ref="H95:K95" si="5">H81/H$75</f>
        <v>0.13805044681346609</v>
      </c>
      <c r="I95" s="18">
        <f t="shared" si="5"/>
        <v>7.7762288623552944E-2</v>
      </c>
      <c r="J95" s="18">
        <f t="shared" si="5"/>
        <v>0.13805044681346609</v>
      </c>
      <c r="K95" s="18">
        <f t="shared" si="5"/>
        <v>0.13777998330814517</v>
      </c>
      <c r="O95" s="7" t="s">
        <v>80</v>
      </c>
      <c r="P95" s="18">
        <f>P81/P$75</f>
        <v>4.1280884152699676E-2</v>
      </c>
      <c r="Q95" s="18">
        <f>Q81/Q$75</f>
        <v>8.1844380403458209E-3</v>
      </c>
      <c r="R95" s="18">
        <f>R81/R$75</f>
        <v>4.3659257788872266E-2</v>
      </c>
      <c r="S95" s="18">
        <f>S81/S$75</f>
        <v>4.5152546953382937E-2</v>
      </c>
    </row>
    <row r="96" spans="7:23" x14ac:dyDescent="0.35">
      <c r="G96" s="7" t="s">
        <v>64</v>
      </c>
      <c r="H96" s="18">
        <f t="shared" ref="H96:K96" si="6">H82/H$75</f>
        <v>2.7187792410504508E-2</v>
      </c>
      <c r="I96" s="18">
        <f t="shared" si="6"/>
        <v>3.757803503242621E-2</v>
      </c>
      <c r="J96" s="18">
        <f t="shared" si="6"/>
        <v>2.7187792410504508E-2</v>
      </c>
      <c r="K96" s="18">
        <f t="shared" si="6"/>
        <v>2.7650959781652492E-2</v>
      </c>
      <c r="O96" s="7" t="s">
        <v>92</v>
      </c>
      <c r="P96" s="18">
        <f>P82/P$75</f>
        <v>8.5140348499287505E-2</v>
      </c>
      <c r="Q96" s="18">
        <f>Q82/Q$75</f>
        <v>9.8213256484149858E-2</v>
      </c>
      <c r="R96" s="18">
        <f>R82/R$75</f>
        <v>8.8783874127105103E-2</v>
      </c>
      <c r="S96" s="18">
        <f>S82/S$75</f>
        <v>8.9084996477813205E-2</v>
      </c>
    </row>
    <row r="97" spans="7:21" x14ac:dyDescent="0.35">
      <c r="G97" s="7" t="s">
        <v>66</v>
      </c>
      <c r="H97" s="18">
        <f t="shared" ref="H97:K97" si="7">H83/H$75</f>
        <v>0.10039921056825193</v>
      </c>
      <c r="I97" s="18">
        <f t="shared" si="7"/>
        <v>6.7398024122674108E-2</v>
      </c>
      <c r="J97" s="18">
        <f t="shared" si="7"/>
        <v>0.10039921056825193</v>
      </c>
      <c r="K97" s="18">
        <f t="shared" si="7"/>
        <v>0.10109060970383237</v>
      </c>
      <c r="O97" s="7" t="s">
        <v>84</v>
      </c>
      <c r="P97" s="18">
        <f>P83/P$75</f>
        <v>0.14290149329581281</v>
      </c>
      <c r="Q97" s="18">
        <f>Q83/Q$75</f>
        <v>0.3095100864553314</v>
      </c>
      <c r="R97" s="18">
        <f>R83/R$75</f>
        <v>0.13248152150097658</v>
      </c>
      <c r="S97" s="18">
        <f>S83/S$75</f>
        <v>0.13313766732871193</v>
      </c>
    </row>
    <row r="98" spans="7:21" x14ac:dyDescent="0.35">
      <c r="G98" s="7" t="s">
        <v>72</v>
      </c>
      <c r="H98" s="18">
        <f t="shared" ref="H98:K98" si="8">H84/H$75</f>
        <v>8.7404436671801519E-2</v>
      </c>
      <c r="I98" s="18">
        <f t="shared" si="8"/>
        <v>5.7942905630644283E-2</v>
      </c>
      <c r="J98" s="18">
        <f t="shared" si="8"/>
        <v>8.7404436671801519E-2</v>
      </c>
      <c r="K98" s="18">
        <f t="shared" si="8"/>
        <v>8.6607042158211717E-2</v>
      </c>
      <c r="O98" s="7" t="s">
        <v>88</v>
      </c>
      <c r="P98" s="18">
        <f>P84/P$75</f>
        <v>0.18376748421514322</v>
      </c>
      <c r="Q98" s="18">
        <f>Q84/Q$75</f>
        <v>0.12657060518731988</v>
      </c>
      <c r="R98" s="18">
        <f>R84/R$75</f>
        <v>0.1679216627746494</v>
      </c>
      <c r="S98" s="18">
        <f>S84/S$75</f>
        <v>0.16828700506817343</v>
      </c>
    </row>
    <row r="99" spans="7:21" x14ac:dyDescent="0.35">
      <c r="G99" s="7" t="s">
        <v>74</v>
      </c>
      <c r="H99" s="18">
        <f t="shared" ref="H99:K99" si="9">H85/H$75</f>
        <v>2.8161302317219174E-2</v>
      </c>
      <c r="I99" s="18">
        <f t="shared" si="9"/>
        <v>2.4849990908539912E-2</v>
      </c>
      <c r="J99" s="18">
        <f t="shared" si="9"/>
        <v>2.8161302317219174E-2</v>
      </c>
      <c r="K99" s="18">
        <f t="shared" si="9"/>
        <v>2.8421266325310716E-2</v>
      </c>
      <c r="O99" s="7" t="s">
        <v>94</v>
      </c>
      <c r="P99" s="18">
        <f>P85/P$75</f>
        <v>2.3588919108281731E-2</v>
      </c>
      <c r="Q99" s="18">
        <f>Q85/Q$75</f>
        <v>1.3256484149855908E-2</v>
      </c>
      <c r="R99" s="18">
        <f>R85/R$75</f>
        <v>2.6199487264957425E-2</v>
      </c>
      <c r="S99" s="18">
        <f>S85/S$75</f>
        <v>2.6481479457553428E-2</v>
      </c>
    </row>
    <row r="100" spans="7:21" x14ac:dyDescent="0.35">
      <c r="G100" s="7" t="s">
        <v>67</v>
      </c>
      <c r="H100" s="18">
        <f t="shared" ref="H100:K100" si="10">H86/H$75</f>
        <v>4.5216623830868739E-2</v>
      </c>
      <c r="I100" s="18">
        <f t="shared" si="10"/>
        <v>0.14249348445360324</v>
      </c>
      <c r="J100" s="18">
        <f t="shared" si="10"/>
        <v>4.5216623830868739E-2</v>
      </c>
      <c r="K100" s="18">
        <f t="shared" si="10"/>
        <v>4.5892450319175333E-2</v>
      </c>
      <c r="O100" s="7" t="s">
        <v>90</v>
      </c>
      <c r="P100" s="18">
        <f>P86/P$75</f>
        <v>0.16271534717862124</v>
      </c>
      <c r="Q100" s="18">
        <f>Q86/Q$75</f>
        <v>5.6829971181556194E-2</v>
      </c>
      <c r="R100" s="18">
        <f>R86/R$75</f>
        <v>0.17022410154326131</v>
      </c>
      <c r="S100" s="18">
        <f>S86/S$75</f>
        <v>0.16876292255063952</v>
      </c>
    </row>
    <row r="101" spans="7:21" x14ac:dyDescent="0.35">
      <c r="O101" s="7" t="s">
        <v>75</v>
      </c>
      <c r="P101" s="18">
        <f>P87/P$75</f>
        <v>6.7165722275410358E-2</v>
      </c>
      <c r="Q101" s="18">
        <f>Q87/Q$75</f>
        <v>4.1729106628242078E-2</v>
      </c>
      <c r="R101" s="18">
        <f>R87/R$75</f>
        <v>5.5246358139247449E-2</v>
      </c>
      <c r="S101" s="18">
        <f>S87/S$75</f>
        <v>5.4773233764904714E-2</v>
      </c>
    </row>
    <row r="103" spans="7:21" ht="14.5" customHeight="1" x14ac:dyDescent="0.35">
      <c r="O103" s="24" t="s">
        <v>153</v>
      </c>
      <c r="P103" s="24"/>
      <c r="Q103" s="24"/>
      <c r="R103" s="24"/>
      <c r="S103" s="24"/>
    </row>
    <row r="104" spans="7:21" x14ac:dyDescent="0.35">
      <c r="O104" s="24"/>
      <c r="P104" s="24"/>
      <c r="Q104" s="24"/>
      <c r="R104" s="24"/>
      <c r="S104" s="24"/>
    </row>
    <row r="105" spans="7:21" x14ac:dyDescent="0.35">
      <c r="O105" s="24"/>
      <c r="P105" s="24"/>
      <c r="Q105" s="24"/>
      <c r="R105" s="24"/>
      <c r="S105" s="24"/>
    </row>
    <row r="107" spans="7:21" x14ac:dyDescent="0.35">
      <c r="H107" s="7" t="s">
        <v>148</v>
      </c>
      <c r="I107" s="7" t="s">
        <v>149</v>
      </c>
      <c r="J107" s="7" t="s">
        <v>150</v>
      </c>
      <c r="K107" s="7" t="s">
        <v>147</v>
      </c>
      <c r="P107" s="7" t="s">
        <v>148</v>
      </c>
      <c r="Q107" s="7" t="s">
        <v>149</v>
      </c>
      <c r="R107" s="7" t="s">
        <v>150</v>
      </c>
      <c r="S107" s="7" t="s">
        <v>147</v>
      </c>
    </row>
    <row r="108" spans="7:21" ht="43.5" x14ac:dyDescent="0.35">
      <c r="H108" s="1">
        <v>5955127</v>
      </c>
      <c r="I108" s="1">
        <v>16606</v>
      </c>
      <c r="J108" s="1">
        <v>138807</v>
      </c>
      <c r="K108" s="1">
        <v>861148</v>
      </c>
      <c r="L108" s="7" t="s">
        <v>154</v>
      </c>
      <c r="M108" s="7" t="s">
        <v>155</v>
      </c>
      <c r="P108" s="1">
        <v>8917107</v>
      </c>
      <c r="Q108" s="1">
        <v>9316</v>
      </c>
      <c r="R108" s="1">
        <v>158108</v>
      </c>
      <c r="S108" s="1">
        <v>1057084</v>
      </c>
      <c r="T108" s="7" t="s">
        <v>154</v>
      </c>
      <c r="U108" s="7" t="s">
        <v>155</v>
      </c>
    </row>
    <row r="109" spans="7:21" x14ac:dyDescent="0.35">
      <c r="G109" s="7" t="s">
        <v>61</v>
      </c>
      <c r="H109" s="10">
        <f>H90*H$108</f>
        <v>493117.55029664986</v>
      </c>
      <c r="I109" s="10">
        <f t="shared" ref="I109:K109" si="11">I90*I$108</f>
        <v>1990.827807745924</v>
      </c>
      <c r="J109" s="10">
        <f t="shared" si="11"/>
        <v>11493.989599890494</v>
      </c>
      <c r="K109" s="10">
        <f t="shared" si="11"/>
        <v>71490.066072677248</v>
      </c>
      <c r="L109" s="10" cm="1">
        <f t="array" ref="L109:L119">H109:H119*Percent_one_dwelling_BE_provinces</f>
        <v>74418.660450061434</v>
      </c>
      <c r="M109" s="10" cm="1">
        <f t="array" ref="M109:M119">H109:H119*(1-Percent_one_dwelling_BE_provinces)</f>
        <v>418698.88984658843</v>
      </c>
      <c r="O109" s="7" t="s">
        <v>81</v>
      </c>
      <c r="P109" s="10">
        <f>P90*P$108</f>
        <v>293013.64403903083</v>
      </c>
      <c r="Q109" s="10">
        <f>Q90*Q$108</f>
        <v>408.07838616714696</v>
      </c>
      <c r="R109" s="10">
        <f>R90*R$108</f>
        <v>5523.1313766505173</v>
      </c>
      <c r="S109" s="10">
        <f>S90*S$108</f>
        <v>37381.613020466444</v>
      </c>
      <c r="T109" s="10" cm="1">
        <f t="array" ref="T109:T120">P109:P120*Percent_one_dwelling_NL_provinces</f>
        <v>197555.74225888887</v>
      </c>
      <c r="U109" s="10" cm="1">
        <f t="array" ref="U109:U120">P109:P120*(1-Percent_one_dwelling_NL_provinces)</f>
        <v>95457.901780141969</v>
      </c>
    </row>
    <row r="110" spans="7:21" x14ac:dyDescent="0.35">
      <c r="G110" s="7" t="s">
        <v>56</v>
      </c>
      <c r="H110" s="10">
        <f t="shared" ref="H110:K110" si="12">H91*H$108</f>
        <v>911514.05261346034</v>
      </c>
      <c r="I110" s="10">
        <f t="shared" si="12"/>
        <v>3855.8449603006243</v>
      </c>
      <c r="J110" s="10">
        <f t="shared" si="12"/>
        <v>21246.319532919548</v>
      </c>
      <c r="K110" s="10">
        <f t="shared" si="12"/>
        <v>130578.53648072542</v>
      </c>
      <c r="L110" s="10">
        <v>559345.01016938488</v>
      </c>
      <c r="M110" s="10">
        <v>352169.04244407546</v>
      </c>
      <c r="O110" s="7" t="s">
        <v>86</v>
      </c>
      <c r="P110" s="10">
        <f>P91*P$108</f>
        <v>347768.81827113923</v>
      </c>
      <c r="Q110" s="10">
        <f>Q91*Q$108</f>
        <v>815.08288184438038</v>
      </c>
      <c r="R110" s="10">
        <f>R91*R$108</f>
        <v>7853.452246165255</v>
      </c>
      <c r="S110" s="10">
        <f>S91*S$108</f>
        <v>52722.022094891385</v>
      </c>
      <c r="T110" s="10">
        <v>288663.72676534206</v>
      </c>
      <c r="U110" s="10">
        <v>59105.091505797194</v>
      </c>
    </row>
    <row r="111" spans="7:21" x14ac:dyDescent="0.35">
      <c r="G111" s="7" t="s">
        <v>58</v>
      </c>
      <c r="H111" s="10">
        <f t="shared" ref="H111:K111" si="13">H92*H$108</f>
        <v>571458.15567679878</v>
      </c>
      <c r="I111" s="10">
        <f t="shared" si="13"/>
        <v>1288.3011091581309</v>
      </c>
      <c r="J111" s="10">
        <f t="shared" si="13"/>
        <v>13320.016888813523</v>
      </c>
      <c r="K111" s="10">
        <f t="shared" si="13"/>
        <v>83461.408242167236</v>
      </c>
      <c r="L111" s="10">
        <v>435209.27387327899</v>
      </c>
      <c r="M111" s="10">
        <v>136248.88180351979</v>
      </c>
      <c r="O111" s="7" t="s">
        <v>83</v>
      </c>
      <c r="P111" s="10">
        <f>P92*P$108</f>
        <v>279001.7951497194</v>
      </c>
      <c r="Q111" s="10">
        <f>Q92*Q$108</f>
        <v>815.08288184438038</v>
      </c>
      <c r="R111" s="10">
        <f>R92*R$108</f>
        <v>5126.0841387343426</v>
      </c>
      <c r="S111" s="10">
        <f>S92*S$108</f>
        <v>34641.429036132962</v>
      </c>
      <c r="T111" s="10">
        <v>234831.41068176363</v>
      </c>
      <c r="U111" s="10">
        <v>44170.384467955766</v>
      </c>
    </row>
    <row r="112" spans="7:21" x14ac:dyDescent="0.35">
      <c r="G112" s="7" t="s">
        <v>60</v>
      </c>
      <c r="H112" s="10">
        <f t="shared" ref="H112:K112" si="14">H93*H$108</f>
        <v>825508.50215030264</v>
      </c>
      <c r="I112" s="10">
        <f t="shared" si="14"/>
        <v>1489.5981574640887</v>
      </c>
      <c r="J112" s="10">
        <f t="shared" si="14"/>
        <v>19241.631397277852</v>
      </c>
      <c r="K112" s="10">
        <f t="shared" si="14"/>
        <v>117875.86049218415</v>
      </c>
      <c r="L112" s="10">
        <v>631321.16842809692</v>
      </c>
      <c r="M112" s="10">
        <v>194187.33372220575</v>
      </c>
      <c r="O112" s="7" t="s">
        <v>77</v>
      </c>
      <c r="P112" s="10">
        <f>P93*P$108</f>
        <v>607704.94003392162</v>
      </c>
      <c r="Q112" s="10">
        <f>Q93*Q$108</f>
        <v>740.98443804034571</v>
      </c>
      <c r="R112" s="10">
        <f>R93*R$108</f>
        <v>11605.563448620691</v>
      </c>
      <c r="S112" s="10">
        <f>S93*S$108</f>
        <v>77792.237390422233</v>
      </c>
      <c r="T112" s="10">
        <v>470587.99858514953</v>
      </c>
      <c r="U112" s="10">
        <v>137116.94144877206</v>
      </c>
    </row>
    <row r="113" spans="7:21" x14ac:dyDescent="0.35">
      <c r="G113" s="7" t="s">
        <v>63</v>
      </c>
      <c r="H113" s="10">
        <f t="shared" ref="H113:K113" si="15">H94*H$108</f>
        <v>605907.82552209962</v>
      </c>
      <c r="I113" s="10">
        <f t="shared" si="15"/>
        <v>1177.5877325898539</v>
      </c>
      <c r="J113" s="10">
        <f t="shared" si="15"/>
        <v>14122.998138787985</v>
      </c>
      <c r="K113" s="10">
        <f t="shared" si="15"/>
        <v>88504.989281122413</v>
      </c>
      <c r="L113" s="10">
        <v>459362.48018458148</v>
      </c>
      <c r="M113" s="10">
        <v>146545.34533751817</v>
      </c>
      <c r="O113" s="7" t="s">
        <v>79</v>
      </c>
      <c r="P113" s="10">
        <f>P94*P$108</f>
        <v>1089144.9085318127</v>
      </c>
      <c r="Q113" s="10">
        <f>Q94*Q$108</f>
        <v>441.36899135446686</v>
      </c>
      <c r="R113" s="10">
        <f>R94*R$108</f>
        <v>19772.271457437186</v>
      </c>
      <c r="S113" s="10">
        <f>S94*S$108</f>
        <v>129725.4982081061</v>
      </c>
      <c r="T113" s="10">
        <v>830270.47117307468</v>
      </c>
      <c r="U113" s="10">
        <v>258874.43735873804</v>
      </c>
    </row>
    <row r="114" spans="7:21" x14ac:dyDescent="0.35">
      <c r="G114" s="7" t="s">
        <v>69</v>
      </c>
      <c r="H114" s="10">
        <f t="shared" ref="H114:K114" si="16">H95*H$108</f>
        <v>822107.94318093592</v>
      </c>
      <c r="I114" s="10">
        <f t="shared" si="16"/>
        <v>1291.3205648827202</v>
      </c>
      <c r="J114" s="10">
        <f t="shared" si="16"/>
        <v>19162.36837083679</v>
      </c>
      <c r="K114" s="10">
        <f t="shared" si="16"/>
        <v>118648.95706584259</v>
      </c>
      <c r="L114" s="10">
        <v>617984.64738419838</v>
      </c>
      <c r="M114" s="10">
        <v>204123.2957967376</v>
      </c>
      <c r="O114" s="7" t="s">
        <v>80</v>
      </c>
      <c r="P114" s="10">
        <f>P95*P$108</f>
        <v>368106.06104422733</v>
      </c>
      <c r="Q114" s="10">
        <f>Q95*Q$108</f>
        <v>76.246224783861663</v>
      </c>
      <c r="R114" s="10">
        <f>R95*R$108</f>
        <v>6902.8779304830159</v>
      </c>
      <c r="S114" s="10">
        <f>S95*S$108</f>
        <v>47730.034943669845</v>
      </c>
      <c r="T114" s="10">
        <v>293442.75007805432</v>
      </c>
      <c r="U114" s="10">
        <v>74663.310966173012</v>
      </c>
    </row>
    <row r="115" spans="7:21" x14ac:dyDescent="0.35">
      <c r="G115" s="7" t="s">
        <v>64</v>
      </c>
      <c r="H115" s="10">
        <f t="shared" ref="H115:K115" si="17">H96*H$108</f>
        <v>161906.75665419048</v>
      </c>
      <c r="I115" s="10">
        <f t="shared" si="17"/>
        <v>624.02084974846969</v>
      </c>
      <c r="J115" s="10">
        <f t="shared" si="17"/>
        <v>3773.855901124899</v>
      </c>
      <c r="K115" s="10">
        <f t="shared" si="17"/>
        <v>23811.568714050482</v>
      </c>
      <c r="L115" s="10">
        <v>118434.74459865171</v>
      </c>
      <c r="M115" s="10">
        <v>43472.012055538769</v>
      </c>
      <c r="O115" s="7" t="s">
        <v>92</v>
      </c>
      <c r="P115" s="10">
        <f>P96*P$108</f>
        <v>759205.59758543607</v>
      </c>
      <c r="Q115" s="10">
        <f>Q96*Q$108</f>
        <v>914.95469740634007</v>
      </c>
      <c r="R115" s="10">
        <f>R96*R$108</f>
        <v>14037.440770488334</v>
      </c>
      <c r="S115" s="10">
        <f>S96*S$108</f>
        <v>94170.324416752701</v>
      </c>
      <c r="T115" s="10">
        <v>489523.09992019803</v>
      </c>
      <c r="U115" s="10">
        <v>269682.49766523804</v>
      </c>
    </row>
    <row r="116" spans="7:21" x14ac:dyDescent="0.35">
      <c r="G116" s="7" t="s">
        <v>66</v>
      </c>
      <c r="H116" s="10">
        <f t="shared" ref="H116:K116" si="18">H97*H$108</f>
        <v>597890.04963368247</v>
      </c>
      <c r="I116" s="10">
        <f t="shared" si="18"/>
        <v>1119.2115885811263</v>
      </c>
      <c r="J116" s="10">
        <f t="shared" si="18"/>
        <v>13936.113221347347</v>
      </c>
      <c r="K116" s="10">
        <f t="shared" si="18"/>
        <v>87053.976365235838</v>
      </c>
      <c r="L116" s="10">
        <v>477293.97034060443</v>
      </c>
      <c r="M116" s="10">
        <v>120596.07929307804</v>
      </c>
      <c r="O116" s="7" t="s">
        <v>84</v>
      </c>
      <c r="P116" s="10">
        <f>P97*P$108</f>
        <v>1274267.9061785454</v>
      </c>
      <c r="Q116" s="10">
        <f>Q97*Q$108</f>
        <v>2883.3959654178675</v>
      </c>
      <c r="R116" s="10">
        <f>R97*R$108</f>
        <v>20946.388401476404</v>
      </c>
      <c r="S116" s="10">
        <f>S97*S$108</f>
        <v>140737.69793050413</v>
      </c>
      <c r="T116" s="10">
        <v>652932.29612237611</v>
      </c>
      <c r="U116" s="10">
        <v>621335.61005616933</v>
      </c>
    </row>
    <row r="117" spans="7:21" x14ac:dyDescent="0.35">
      <c r="G117" s="7" t="s">
        <v>72</v>
      </c>
      <c r="H117" s="10">
        <f t="shared" ref="H117:K117" si="19">H98*H$108</f>
        <v>520504.52074403537</v>
      </c>
      <c r="I117" s="10">
        <f t="shared" si="19"/>
        <v>962.19989090247896</v>
      </c>
      <c r="J117" s="10">
        <f t="shared" si="19"/>
        <v>12132.347641102753</v>
      </c>
      <c r="K117" s="10">
        <f t="shared" si="19"/>
        <v>74581.481140459699</v>
      </c>
      <c r="L117" s="10">
        <v>354680.87752500229</v>
      </c>
      <c r="M117" s="10">
        <v>165823.64321903311</v>
      </c>
      <c r="O117" s="7" t="s">
        <v>88</v>
      </c>
      <c r="P117" s="10">
        <f>P98*P$108</f>
        <v>1638674.3198672431</v>
      </c>
      <c r="Q117" s="10">
        <f>Q98*Q$108</f>
        <v>1179.131757925072</v>
      </c>
      <c r="R117" s="10">
        <f>R98*R$108</f>
        <v>26549.758257974267</v>
      </c>
      <c r="S117" s="10">
        <f>S98*S$108</f>
        <v>177893.50046548503</v>
      </c>
      <c r="T117" s="10">
        <v>821087.03092583059</v>
      </c>
      <c r="U117" s="10">
        <v>817587.28894141247</v>
      </c>
    </row>
    <row r="118" spans="7:21" x14ac:dyDescent="0.35">
      <c r="G118" s="7" t="s">
        <v>74</v>
      </c>
      <c r="H118" s="10">
        <f t="shared" ref="H118:K118" si="20">H99*H$108</f>
        <v>167704.13178443446</v>
      </c>
      <c r="I118" s="10">
        <f t="shared" si="20"/>
        <v>412.65894902721379</v>
      </c>
      <c r="J118" s="10">
        <f t="shared" si="20"/>
        <v>3908.9858907462417</v>
      </c>
      <c r="K118" s="10">
        <f t="shared" si="20"/>
        <v>24474.916653508673</v>
      </c>
      <c r="L118" s="10">
        <v>128764.96129266387</v>
      </c>
      <c r="M118" s="10">
        <v>38939.170491770594</v>
      </c>
      <c r="O118" s="7" t="s">
        <v>94</v>
      </c>
      <c r="P118" s="10">
        <f>P99*P$108</f>
        <v>210344.91570289279</v>
      </c>
      <c r="Q118" s="10">
        <f>Q99*Q$108</f>
        <v>123.49740634005764</v>
      </c>
      <c r="R118" s="10">
        <f>R99*R$108</f>
        <v>4142.3485324878884</v>
      </c>
      <c r="S118" s="10">
        <f>S99*S$108</f>
        <v>27993.148230908409</v>
      </c>
      <c r="T118" s="10">
        <v>173446.69816597819</v>
      </c>
      <c r="U118" s="10">
        <v>36898.217536914584</v>
      </c>
    </row>
    <row r="119" spans="7:21" x14ac:dyDescent="0.35">
      <c r="G119" s="7" t="s">
        <v>67</v>
      </c>
      <c r="H119" s="10">
        <f t="shared" ref="H119:K119" si="21">H100*H$108</f>
        <v>269270.73742404988</v>
      </c>
      <c r="I119" s="10">
        <f t="shared" si="21"/>
        <v>2366.2468028365356</v>
      </c>
      <c r="J119" s="10">
        <f t="shared" si="21"/>
        <v>6276.3839040913972</v>
      </c>
      <c r="K119" s="10">
        <f t="shared" si="21"/>
        <v>39520.191807457202</v>
      </c>
      <c r="L119" s="10">
        <v>200470.13358071147</v>
      </c>
      <c r="M119" s="10">
        <v>68800.603843338409</v>
      </c>
      <c r="O119" s="7" t="s">
        <v>90</v>
      </c>
      <c r="P119" s="10">
        <f>P100*P$108</f>
        <v>1450950.1613339137</v>
      </c>
      <c r="Q119" s="10">
        <f>Q100*Q$108</f>
        <v>529.42801152737752</v>
      </c>
      <c r="R119" s="10">
        <f>R100*R$108</f>
        <v>26913.792246801961</v>
      </c>
      <c r="S119" s="10">
        <f>S100*S$108</f>
        <v>178396.58522152022</v>
      </c>
      <c r="T119" s="10">
        <v>1115343.6155783732</v>
      </c>
      <c r="U119" s="10">
        <v>335606.54575554043</v>
      </c>
    </row>
    <row r="120" spans="7:21" x14ac:dyDescent="0.35">
      <c r="O120" s="7" t="s">
        <v>75</v>
      </c>
      <c r="P120" s="10">
        <f>P101*P$108</f>
        <v>598923.93226211763</v>
      </c>
      <c r="Q120" s="10">
        <f>Q101*Q$108</f>
        <v>388.74835734870322</v>
      </c>
      <c r="R120" s="10">
        <f>R101*R$108</f>
        <v>8734.8911926801356</v>
      </c>
      <c r="S120" s="10">
        <f>S101*S$108</f>
        <v>57899.909041140534</v>
      </c>
      <c r="T120" s="10">
        <v>448431.16541388049</v>
      </c>
      <c r="U120" s="10">
        <v>150492.76684823717</v>
      </c>
    </row>
    <row r="125" spans="7:21" ht="29" x14ac:dyDescent="0.35">
      <c r="H125" s="7" t="s">
        <v>148</v>
      </c>
      <c r="I125" s="7" t="s">
        <v>149</v>
      </c>
      <c r="J125" s="7" t="s">
        <v>150</v>
      </c>
      <c r="K125" s="7" t="s">
        <v>147</v>
      </c>
      <c r="L125" s="7" t="s">
        <v>154</v>
      </c>
      <c r="M125" s="7" t="s">
        <v>155</v>
      </c>
      <c r="P125" s="7" t="s">
        <v>148</v>
      </c>
      <c r="Q125" s="7" t="s">
        <v>149</v>
      </c>
      <c r="R125" s="7" t="s">
        <v>150</v>
      </c>
      <c r="S125" s="7" t="s">
        <v>147</v>
      </c>
      <c r="T125" s="7" t="s">
        <v>154</v>
      </c>
      <c r="U125" s="7" t="s">
        <v>155</v>
      </c>
    </row>
    <row r="126" spans="7:21" x14ac:dyDescent="0.35">
      <c r="G126" s="7" t="s">
        <v>57</v>
      </c>
      <c r="H126" s="3" cm="1">
        <f t="array" ref="H126">SUM(INDEX(NUT2_to_IC_matrix_population_BE*TRANSPOSE(H$109:H$119),ROW()-ROW($G$125),0))</f>
        <v>793958.73591974447</v>
      </c>
      <c r="I126" s="3" cm="1">
        <f t="array" ref="I126">SUM(INDEX(NUT2_to_IC_matrix_population_BE*TRANSPOSE(I$109:I$119),ROW()-ROW($G$125),0))</f>
        <v>2229.5128639675131</v>
      </c>
      <c r="J126" s="3" cm="1">
        <f t="array" ref="J126">SUM(INDEX(NUT2_to_IC_matrix_population_BE*TRANSPOSE(J$109:J$119),ROW()-ROW($G$125),0))</f>
        <v>18506.243486799183</v>
      </c>
      <c r="K126" s="3" cm="1">
        <f t="array" ref="K126">SUM(INDEX(NUT2_to_IC_matrix_population_BE*TRANSPOSE(K$109:K$119),ROW()-ROW($G$125),0))</f>
        <v>115335.6289971123</v>
      </c>
      <c r="L126" s="3" cm="1">
        <f t="array" ref="L126">SUM(INDEX(NUT2_to_IC_matrix_population_BE*TRANSPOSE(L$109:L$119),ROW()-ROW($G$125),0))</f>
        <v>571745.39085562585</v>
      </c>
      <c r="M126" s="3" cm="1">
        <f t="array" ref="M126">SUM(INDEX(NUT2_to_IC_matrix_population_BE*TRANSPOSE(M$109:M$119),ROW()-ROW($G$125),0))</f>
        <v>222213.34506411862</v>
      </c>
      <c r="O126" s="7" t="s">
        <v>76</v>
      </c>
      <c r="P126" s="3" cm="1">
        <f t="array" ref="P126">SUM(INDEX(NUT2_to_IC_matrix_population*TRANSPOSE(P$109:P$120),ROW()-ROW($G$125),0))</f>
        <v>316411.51341407676</v>
      </c>
      <c r="Q126" s="3" cm="1">
        <f t="array" ref="Q126">SUM(INDEX(NUT2_to_IC_matrix_population*TRANSPOSE(Q$109:Q$120),ROW()-ROW($G$125),0))</f>
        <v>205.37575718731992</v>
      </c>
      <c r="R126" s="3" cm="1">
        <f t="array" ref="R126">SUM(INDEX(NUT2_to_IC_matrix_population*TRANSPOSE(R$109:R$120),ROW()-ROW($G$125),0))</f>
        <v>4614.6430170929152</v>
      </c>
      <c r="S126" s="3" cm="1">
        <f t="array" ref="S126">SUM(INDEX(NUT2_to_IC_matrix_population*TRANSPOSE(S$109:S$120),ROW()-ROW($G$125),0))</f>
        <v>30588.521946434543</v>
      </c>
      <c r="T126" s="3" cm="1">
        <f t="array" ref="T126">SUM(INDEX(NUT2_to_IC_matrix_population*TRANSPOSE(T$109:T$120),ROW()-ROW($G$125),0))</f>
        <v>236906.18468815307</v>
      </c>
      <c r="U126" s="3" cm="1">
        <f t="array" ref="U126">SUM(INDEX(NUT2_to_IC_matrix_population*TRANSPOSE(U$109:U$120),ROW()-ROW($G$125),0))</f>
        <v>79505.328725923697</v>
      </c>
    </row>
    <row r="127" spans="7:21" x14ac:dyDescent="0.35">
      <c r="G127" s="7" t="s">
        <v>59</v>
      </c>
      <c r="H127" s="3" cm="1">
        <f t="array" ref="H127">SUM(INDEX(NUT2_to_IC_matrix_population_BE*TRANSPOSE(H$109:H$119),ROW()-ROW($G$125),0))</f>
        <v>663065.64402878203</v>
      </c>
      <c r="I127" s="3" cm="1">
        <f t="array" ref="I127">SUM(INDEX(NUT2_to_IC_matrix_population_BE*TRANSPOSE(I$109:I$119),ROW()-ROW($G$125),0))</f>
        <v>2459.6509481665557</v>
      </c>
      <c r="J127" s="3" cm="1">
        <f t="array" ref="J127">SUM(INDEX(NUT2_to_IC_matrix_population_BE*TRANSPOSE(J$109:J$119),ROW()-ROW($G$125),0))</f>
        <v>15455.27960204764</v>
      </c>
      <c r="K127" s="3" cm="1">
        <f t="array" ref="K127">SUM(INDEX(NUT2_to_IC_matrix_population_BE*TRANSPOSE(K$109:K$119),ROW()-ROW($G$125),0))</f>
        <v>94921.316240290995</v>
      </c>
      <c r="L127" s="3" cm="1">
        <f t="array" ref="L127">SUM(INDEX(NUT2_to_IC_matrix_population_BE*TRANSPOSE(L$109:L$119),ROW()-ROW($G$125),0))</f>
        <v>428393.57374677353</v>
      </c>
      <c r="M127" s="3" cm="1">
        <f t="array" ref="M127">SUM(INDEX(NUT2_to_IC_matrix_population_BE*TRANSPOSE(M$109:M$119),ROW()-ROW($G$125),0))</f>
        <v>234672.07028200862</v>
      </c>
      <c r="O127" s="7" t="s">
        <v>78</v>
      </c>
      <c r="P127" s="3" cm="1">
        <f t="array" ref="P127">SUM(INDEX(NUT2_to_IC_matrix_population*TRANSPOSE(P$109:P$120),ROW()-ROW($G$125),0))</f>
        <v>2064955.9096099618</v>
      </c>
      <c r="Q127" s="3" cm="1">
        <f t="array" ref="Q127">SUM(INDEX(NUT2_to_IC_matrix_population*TRANSPOSE(Q$109:Q$120),ROW()-ROW($G$125),0))</f>
        <v>1258.5996541786742</v>
      </c>
      <c r="R127" s="3" cm="1">
        <f t="array" ref="R127">SUM(INDEX(NUT2_to_IC_matrix_population*TRANSPOSE(R$109:R$120),ROW()-ROW($G$125),0))</f>
        <v>38280.712836540893</v>
      </c>
      <c r="S127" s="3" cm="1">
        <f t="array" ref="S127">SUM(INDEX(NUT2_to_IC_matrix_population*TRANSPOSE(S$109:S$120),ROW()-ROW($G$125),0))</f>
        <v>255247.77054219821</v>
      </c>
      <c r="T127" s="3" cm="1">
        <f t="array" ref="T127">SUM(INDEX(NUT2_to_IC_matrix_population*TRANSPOSE(T$109:T$120),ROW()-ROW($G$125),0))</f>
        <v>1594301.2198362786</v>
      </c>
      <c r="U127" s="3" cm="1">
        <f t="array" ref="U127">SUM(INDEX(NUT2_to_IC_matrix_population*TRANSPOSE(U$109:U$120),ROW()-ROW($G$125),0))</f>
        <v>470654.68977368315</v>
      </c>
    </row>
    <row r="128" spans="7:21" x14ac:dyDescent="0.35">
      <c r="G128" s="7" t="s">
        <v>62</v>
      </c>
      <c r="H128" s="3" cm="1">
        <f t="array" ref="H128">SUM(INDEX(NUT2_to_IC_matrix_population_BE*TRANSPOSE(H$109:H$119),ROW()-ROW($G$125),0))</f>
        <v>1534838.1754781073</v>
      </c>
      <c r="I128" s="3" cm="1">
        <f t="array" ref="I128">SUM(INDEX(NUT2_to_IC_matrix_population_BE*TRANSPOSE(I$109:I$119),ROW()-ROW($G$125),0))</f>
        <v>4362.9832828413846</v>
      </c>
      <c r="J128" s="3" cm="1">
        <f t="array" ref="J128">SUM(INDEX(NUT2_to_IC_matrix_population_BE*TRANSPOSE(J$109:J$119),ROW()-ROW($G$125),0))</f>
        <v>35775.271060313178</v>
      </c>
      <c r="K128" s="3" cm="1">
        <f t="array" ref="K128">SUM(INDEX(NUT2_to_IC_matrix_population_BE*TRANSPOSE(K$109:K$119),ROW()-ROW($G$125),0))</f>
        <v>222303.41957365844</v>
      </c>
      <c r="L128" s="3" cm="1">
        <f t="array" ref="L128">SUM(INDEX(NUT2_to_IC_matrix_population_BE*TRANSPOSE(L$109:L$119),ROW()-ROW($G$125),0))</f>
        <v>841647.42019945756</v>
      </c>
      <c r="M128" s="3" cm="1">
        <f t="array" ref="M128">SUM(INDEX(NUT2_to_IC_matrix_population_BE*TRANSPOSE(M$109:M$119),ROW()-ROW($G$125),0))</f>
        <v>693190.75527864974</v>
      </c>
      <c r="O128" s="7" t="s">
        <v>82</v>
      </c>
      <c r="P128" s="3" cm="1">
        <f t="array" ref="P128">SUM(INDEX(NUT2_to_IC_matrix_population*TRANSPOSE(P$109:P$120),ROW()-ROW($G$125),0))</f>
        <v>496684.954498326</v>
      </c>
      <c r="Q128" s="3" cm="1">
        <f t="array" ref="Q128">SUM(INDEX(NUT2_to_IC_matrix_population*TRANSPOSE(Q$109:Q$120),ROW()-ROW($G$125),0))</f>
        <v>1003.0888899135447</v>
      </c>
      <c r="R128" s="3" cm="1">
        <f t="array" ref="R128">SUM(INDEX(NUT2_to_IC_matrix_population*TRANSPOSE(R$109:R$120),ROW()-ROW($G$125),0))</f>
        <v>9265.172797926587</v>
      </c>
      <c r="S128" s="3" cm="1">
        <f t="array" ref="S128">SUM(INDEX(NUT2_to_IC_matrix_population*TRANSPOSE(S$109:S$120),ROW()-ROW($G$125),0))</f>
        <v>62669.856216843502</v>
      </c>
      <c r="T128" s="3" cm="1">
        <f t="array" ref="T128">SUM(INDEX(NUT2_to_IC_matrix_population*TRANSPOSE(T$109:T$120),ROW()-ROW($G$125),0))</f>
        <v>368982.67205657635</v>
      </c>
      <c r="U128" s="3" cm="1">
        <f t="array" ref="U128">SUM(INDEX(NUT2_to_IC_matrix_population*TRANSPOSE(U$109:U$120),ROW()-ROW($G$125),0))</f>
        <v>127702.28244174967</v>
      </c>
    </row>
    <row r="129" spans="7:21" x14ac:dyDescent="0.35">
      <c r="G129" s="7" t="s">
        <v>65</v>
      </c>
      <c r="H129" s="3" cm="1">
        <f t="array" ref="H129">SUM(INDEX(NUT2_to_IC_matrix_population_BE*TRANSPOSE(H$109:H$119),ROW()-ROW($G$125),0))</f>
        <v>745607.87118059397</v>
      </c>
      <c r="I129" s="3" cm="1">
        <f t="array" ref="I129">SUM(INDEX(NUT2_to_IC_matrix_population_BE*TRANSPOSE(I$109:I$119),ROW()-ROW($G$125),0))</f>
        <v>3578.8610270198196</v>
      </c>
      <c r="J129" s="3" cm="1">
        <f t="array" ref="J129">SUM(INDEX(NUT2_to_IC_matrix_population_BE*TRANSPOSE(J$109:J$119),ROW()-ROW($G$125),0))</f>
        <v>17379.241748322864</v>
      </c>
      <c r="K129" s="3" cm="1">
        <f t="array" ref="K129">SUM(INDEX(NUT2_to_IC_matrix_population_BE*TRANSPOSE(K$109:K$119),ROW()-ROW($G$125),0))</f>
        <v>109113.44669198521</v>
      </c>
      <c r="L129" s="3" cm="1">
        <f t="array" ref="L129">SUM(INDEX(NUT2_to_IC_matrix_population_BE*TRANSPOSE(L$109:L$119),ROW()-ROW($G$125),0))</f>
        <v>569913.77718148706</v>
      </c>
      <c r="M129" s="3" cm="1">
        <f t="array" ref="M129">SUM(INDEX(NUT2_to_IC_matrix_population_BE*TRANSPOSE(M$109:M$119),ROW()-ROW($G$125),0))</f>
        <v>175694.09399910693</v>
      </c>
      <c r="O129" s="7" t="s">
        <v>85</v>
      </c>
      <c r="P129" s="3" cm="1">
        <f t="array" ref="P129">SUM(INDEX(NUT2_to_IC_matrix_population*TRANSPOSE(P$109:P$120),ROW()-ROW($G$125),0))</f>
        <v>768638.40100689861</v>
      </c>
      <c r="Q129" s="3" cm="1">
        <f t="array" ref="Q129">SUM(INDEX(NUT2_to_IC_matrix_population*TRANSPOSE(Q$109:Q$120),ROW()-ROW($G$125),0))</f>
        <v>1739.2644463400575</v>
      </c>
      <c r="R129" s="3" cm="1">
        <f t="array" ref="R129">SUM(INDEX(NUT2_to_IC_matrix_population*TRANSPOSE(R$109:R$120),ROW()-ROW($G$125),0))</f>
        <v>12634.861483770566</v>
      </c>
      <c r="S129" s="3" cm="1">
        <f t="array" ref="S129">SUM(INDEX(NUT2_to_IC_matrix_population*TRANSPOSE(S$109:S$120),ROW()-ROW($G$125),0))</f>
        <v>84892.979391680085</v>
      </c>
      <c r="T129" s="3" cm="1">
        <f t="array" ref="T129">SUM(INDEX(NUT2_to_IC_matrix_population*TRANSPOSE(T$109:T$120),ROW()-ROW($G$125),0))</f>
        <v>393848.76102101721</v>
      </c>
      <c r="U129" s="3" cm="1">
        <f t="array" ref="U129">SUM(INDEX(NUT2_to_IC_matrix_population*TRANSPOSE(U$109:U$120),ROW()-ROW($G$125),0))</f>
        <v>374789.63998588134</v>
      </c>
    </row>
    <row r="130" spans="7:21" x14ac:dyDescent="0.35">
      <c r="G130" s="7" t="s">
        <v>68</v>
      </c>
      <c r="H130" s="3" cm="1">
        <f t="array" ref="H130">SUM(INDEX(NUT2_to_IC_matrix_population_BE*TRANSPOSE(H$109:H$119),ROW()-ROW($G$125),0))</f>
        <v>888396.27590360516</v>
      </c>
      <c r="I130" s="3" cm="1">
        <f t="array" ref="I130">SUM(INDEX(NUT2_to_IC_matrix_population_BE*TRANSPOSE(I$109:I$119),ROW()-ROW($G$125),0))</f>
        <v>1410.9352969270865</v>
      </c>
      <c r="J130" s="3" cm="1">
        <f t="array" ref="J130">SUM(INDEX(NUT2_to_IC_matrix_population_BE*TRANSPOSE(J$109:J$119),ROW()-ROW($G$125),0))</f>
        <v>20707.471372038202</v>
      </c>
      <c r="K130" s="3" cm="1">
        <f t="array" ref="K130">SUM(INDEX(NUT2_to_IC_matrix_population_BE*TRANSPOSE(K$109:K$119),ROW()-ROW($G$125),0))</f>
        <v>128114.38866336498</v>
      </c>
      <c r="L130" s="3" cm="1">
        <f t="array" ref="L130">SUM(INDEX(NUT2_to_IC_matrix_population_BE*TRANSPOSE(L$109:L$119),ROW()-ROW($G$125),0))</f>
        <v>668679.73720897455</v>
      </c>
      <c r="M130" s="3" cm="1">
        <f t="array" ref="M130">SUM(INDEX(NUT2_to_IC_matrix_population_BE*TRANSPOSE(M$109:M$119),ROW()-ROW($G$125),0))</f>
        <v>219716.53869463073</v>
      </c>
      <c r="O130" s="7" t="s">
        <v>87</v>
      </c>
      <c r="P130" s="3" cm="1">
        <f t="array" ref="P130">SUM(INDEX(NUT2_to_IC_matrix_population*TRANSPOSE(P$109:P$120),ROW()-ROW($G$125),0))</f>
        <v>710446.71580482554</v>
      </c>
      <c r="Q130" s="3" cm="1">
        <f t="array" ref="Q130">SUM(INDEX(NUT2_to_IC_matrix_population*TRANSPOSE(Q$109:Q$120),ROW()-ROW($G$125),0))</f>
        <v>1685.3610501440921</v>
      </c>
      <c r="R130" s="3" cm="1">
        <f t="array" ref="R130">SUM(INDEX(NUT2_to_IC_matrix_population*TRANSPOSE(R$109:R$120),ROW()-ROW($G$125),0))</f>
        <v>13960.905548156457</v>
      </c>
      <c r="S130" s="3" cm="1">
        <f t="array" ref="S130">SUM(INDEX(NUT2_to_IC_matrix_population*TRANSPOSE(S$109:S$120),ROW()-ROW($G$125),0))</f>
        <v>93811.55881797598</v>
      </c>
      <c r="T130" s="3" cm="1">
        <f t="array" ref="T130">SUM(INDEX(NUT2_to_IC_matrix_population*TRANSPOSE(T$109:T$120),ROW()-ROW($G$125),0))</f>
        <v>499304.44042501412</v>
      </c>
      <c r="U130" s="3" cm="1">
        <f t="array" ref="U130">SUM(INDEX(NUT2_to_IC_matrix_population*TRANSPOSE(U$109:U$120),ROW()-ROW($G$125),0))</f>
        <v>211142.27537981144</v>
      </c>
    </row>
    <row r="131" spans="7:21" x14ac:dyDescent="0.35">
      <c r="G131" s="7" t="s">
        <v>70</v>
      </c>
      <c r="H131" s="3" cm="1">
        <f t="array" ref="H131">SUM(INDEX(NUT2_to_IC_matrix_population_BE*TRANSPOSE(H$109:H$119),ROW()-ROW($G$125),0))</f>
        <v>349272.64725979301</v>
      </c>
      <c r="I131" s="3" cm="1">
        <f t="array" ref="I131">SUM(INDEX(NUT2_to_IC_matrix_population_BE*TRANSPOSE(I$109:I$119),ROW()-ROW($G$125),0))</f>
        <v>630.24898042305585</v>
      </c>
      <c r="J131" s="3" cm="1">
        <f t="array" ref="J131">SUM(INDEX(NUT2_to_IC_matrix_population_BE*TRANSPOSE(J$109:J$119),ROW()-ROW($G$125),0))</f>
        <v>8141.1342441882589</v>
      </c>
      <c r="K131" s="3" cm="1">
        <f t="array" ref="K131">SUM(INDEX(NUT2_to_IC_matrix_population_BE*TRANSPOSE(K$109:K$119),ROW()-ROW($G$125),0))</f>
        <v>49873.276574243107</v>
      </c>
      <c r="L131" s="3" cm="1">
        <f t="array" ref="L131">SUM(INDEX(NUT2_to_IC_matrix_population_BE*TRANSPOSE(L$109:L$119),ROW()-ROW($G$125),0))</f>
        <v>267111.98636192782</v>
      </c>
      <c r="M131" s="3" cm="1">
        <f t="array" ref="M131">SUM(INDEX(NUT2_to_IC_matrix_population_BE*TRANSPOSE(M$109:M$119),ROW()-ROW($G$125),0))</f>
        <v>82160.660897865251</v>
      </c>
      <c r="O131" s="7" t="s">
        <v>89</v>
      </c>
      <c r="P131" s="3" cm="1">
        <f t="array" ref="P131">SUM(INDEX(NUT2_to_IC_matrix_population*TRANSPOSE(P$109:P$120),ROW()-ROW($G$125),0))</f>
        <v>1081050.6233622513</v>
      </c>
      <c r="Q131" s="3" cm="1">
        <f t="array" ref="Q131">SUM(INDEX(NUT2_to_IC_matrix_population*TRANSPOSE(Q$109:Q$120),ROW()-ROW($G$125),0))</f>
        <v>646.75935345244955</v>
      </c>
      <c r="R131" s="3" cm="1">
        <f t="array" ref="R131">SUM(INDEX(NUT2_to_IC_matrix_population*TRANSPOSE(R$109:R$120),ROW()-ROW($G$125),0))</f>
        <v>18382.88432427177</v>
      </c>
      <c r="S131" s="3" cm="1">
        <f t="array" ref="S131">SUM(INDEX(NUT2_to_IC_matrix_population*TRANSPOSE(S$109:S$120),ROW()-ROW($G$125),0))</f>
        <v>122679.0184665104</v>
      </c>
      <c r="T131" s="3" cm="1">
        <f t="array" ref="T131">SUM(INDEX(NUT2_to_IC_matrix_population*TRANSPOSE(T$109:T$120),ROW()-ROW($G$125),0))</f>
        <v>640623.43337427254</v>
      </c>
      <c r="U131" s="3" cm="1">
        <f t="array" ref="U131">SUM(INDEX(NUT2_to_IC_matrix_population*TRANSPOSE(U$109:U$120),ROW()-ROW($G$125),0))</f>
        <v>440427.1899879789</v>
      </c>
    </row>
    <row r="132" spans="7:21" x14ac:dyDescent="0.35">
      <c r="G132" s="7" t="s">
        <v>71</v>
      </c>
      <c r="H132" s="3" cm="1">
        <f t="array" ref="H132">SUM(INDEX(NUT2_to_IC_matrix_population_BE*TRANSPOSE(H$109:H$119),ROW()-ROW($G$125),0))</f>
        <v>283459.67253132886</v>
      </c>
      <c r="I132" s="3" cm="1">
        <f t="array" ref="I132">SUM(INDEX(NUT2_to_IC_matrix_population_BE*TRANSPOSE(I$109:I$119),ROW()-ROW($G$125),0))</f>
        <v>530.61821414631197</v>
      </c>
      <c r="J132" s="3" cm="1">
        <f t="array" ref="J132">SUM(INDEX(NUT2_to_IC_matrix_population_BE*TRANSPOSE(J$109:J$119),ROW()-ROW($G$125),0))</f>
        <v>6607.1112782407772</v>
      </c>
      <c r="K132" s="3" cm="1">
        <f t="array" ref="K132">SUM(INDEX(NUT2_to_IC_matrix_population_BE*TRANSPOSE(K$109:K$119),ROW()-ROW($G$125),0))</f>
        <v>41272.290194758316</v>
      </c>
      <c r="L132" s="3" cm="1">
        <f t="array" ref="L132">SUM(INDEX(NUT2_to_IC_matrix_population_BE*TRANSPOSE(L$109:L$119),ROW()-ROW($G$125),0))</f>
        <v>226285.07133848057</v>
      </c>
      <c r="M132" s="3" cm="1">
        <f t="array" ref="M132">SUM(INDEX(NUT2_to_IC_matrix_population_BE*TRANSPOSE(M$109:M$119),ROW()-ROW($G$125),0))</f>
        <v>57174.601192848306</v>
      </c>
      <c r="O132" s="7" t="s">
        <v>91</v>
      </c>
      <c r="P132" s="3" cm="1">
        <f t="array" ref="P132">SUM(INDEX(NUT2_to_IC_matrix_population*TRANSPOSE(P$109:P$120),ROW()-ROW($G$125),0))</f>
        <v>1363760.4790740735</v>
      </c>
      <c r="Q132" s="3" cm="1">
        <f t="array" ref="Q132">SUM(INDEX(NUT2_to_IC_matrix_population*TRANSPOSE(Q$109:Q$120),ROW()-ROW($G$125),0))</f>
        <v>577.90235435158502</v>
      </c>
      <c r="R132" s="3" cm="1">
        <f t="array" ref="R132">SUM(INDEX(NUT2_to_IC_matrix_population*TRANSPOSE(R$109:R$120),ROW()-ROW($G$125),0))</f>
        <v>24176.406157904043</v>
      </c>
      <c r="S132" s="3" cm="1">
        <f t="array" ref="S132">SUM(INDEX(NUT2_to_IC_matrix_population*TRANSPOSE(S$109:S$120),ROW()-ROW($G$125),0))</f>
        <v>160252.52240178286</v>
      </c>
      <c r="T132" s="3" cm="1">
        <f t="array" ref="T132">SUM(INDEX(NUT2_to_IC_matrix_population*TRANSPOSE(T$109:T$120),ROW()-ROW($G$125),0))</f>
        <v>1042679.0430547311</v>
      </c>
      <c r="U132" s="3" cm="1">
        <f t="array" ref="U132">SUM(INDEX(NUT2_to_IC_matrix_population*TRANSPOSE(U$109:U$120),ROW()-ROW($G$125),0))</f>
        <v>321081.43601934216</v>
      </c>
    </row>
    <row r="133" spans="7:21" x14ac:dyDescent="0.35">
      <c r="G133" s="7" t="s">
        <v>73</v>
      </c>
      <c r="H133" s="3" cm="1">
        <f t="array" ref="H133">SUM(INDEX(NUT2_to_IC_matrix_population_BE*TRANSPOSE(H$109:H$119),ROW()-ROW($G$125),0))</f>
        <v>688208.6525284698</v>
      </c>
      <c r="I133" s="3" cm="1">
        <f t="array" ref="I133">SUM(INDEX(NUT2_to_IC_matrix_population_BE*TRANSPOSE(I$109:I$119),ROW()-ROW($G$125),0))</f>
        <v>1374.8588399296927</v>
      </c>
      <c r="J133" s="3" cm="1">
        <f t="array" ref="J133">SUM(INDEX(NUT2_to_IC_matrix_population_BE*TRANSPOSE(J$109:J$119),ROW()-ROW($G$125),0))</f>
        <v>16041.333531848995</v>
      </c>
      <c r="K133" s="3" cm="1">
        <f t="array" ref="K133">SUM(INDEX(NUT2_to_IC_matrix_population_BE*TRANSPOSE(K$109:K$119),ROW()-ROW($G$125),0))</f>
        <v>99056.397793968368</v>
      </c>
      <c r="L133" s="3" cm="1">
        <f t="array" ref="L133">SUM(INDEX(NUT2_to_IC_matrix_population_BE*TRANSPOSE(L$109:L$119),ROW()-ROW($G$125),0))</f>
        <v>483445.83881766617</v>
      </c>
      <c r="M133" s="3" cm="1">
        <f t="array" ref="M133">SUM(INDEX(NUT2_to_IC_matrix_population_BE*TRANSPOSE(M$109:M$119),ROW()-ROW($G$125),0))</f>
        <v>204762.81371080369</v>
      </c>
      <c r="O133" s="7" t="s">
        <v>93</v>
      </c>
      <c r="P133" s="3" cm="1">
        <f t="array" ref="P133">SUM(INDEX(NUT2_to_IC_matrix_population*TRANSPOSE(P$109:P$120),ROW()-ROW($G$125),0))</f>
        <v>1904813.4875266938</v>
      </c>
      <c r="Q133" s="3" cm="1">
        <f t="array" ref="Q133">SUM(INDEX(NUT2_to_IC_matrix_population*TRANSPOSE(Q$109:Q$120),ROW()-ROW($G$125),0))</f>
        <v>2076.1510880922187</v>
      </c>
      <c r="R133" s="3" cm="1">
        <f t="array" ref="R133">SUM(INDEX(NUT2_to_IC_matrix_population*TRANSPOSE(R$109:R$120),ROW()-ROW($G$125),0))</f>
        <v>32650.065301848877</v>
      </c>
      <c r="S133" s="3" cm="1">
        <f t="array" ref="S133">SUM(INDEX(NUT2_to_IC_matrix_population*TRANSPOSE(S$109:S$120),ROW()-ROW($G$125),0))</f>
        <v>218948.62398566602</v>
      </c>
      <c r="T133" s="3" cm="1">
        <f t="array" ref="T133">SUM(INDEX(NUT2_to_IC_matrix_population*TRANSPOSE(T$109:T$120),ROW()-ROW($G$125),0))</f>
        <v>1066023.5530468884</v>
      </c>
      <c r="U133" s="3" cm="1">
        <f t="array" ref="U133">SUM(INDEX(NUT2_to_IC_matrix_population*TRANSPOSE(U$109:U$120),ROW()-ROW($G$125),0))</f>
        <v>838789.93447980518</v>
      </c>
    </row>
    <row r="134" spans="7:21" x14ac:dyDescent="0.35">
      <c r="O134" s="7" t="s">
        <v>95</v>
      </c>
      <c r="P134" s="3" cm="1">
        <f t="array" ref="P134">SUM(INDEX(NUT2_to_IC_matrix_population*TRANSPOSE(P$109:P$120),ROW()-ROW($G$125),0))</f>
        <v>210344.91570289279</v>
      </c>
      <c r="Q134" s="3" cm="1">
        <f t="array" ref="Q134">SUM(INDEX(NUT2_to_IC_matrix_population*TRANSPOSE(Q$109:Q$120),ROW()-ROW($G$125),0))</f>
        <v>123.49740634005764</v>
      </c>
      <c r="R134" s="3" cm="1">
        <f t="array" ref="R134">SUM(INDEX(NUT2_to_IC_matrix_population*TRANSPOSE(R$109:R$120),ROW()-ROW($G$125),0))</f>
        <v>4142.3485324878884</v>
      </c>
      <c r="S134" s="3" cm="1">
        <f t="array" ref="S134">SUM(INDEX(NUT2_to_IC_matrix_population*TRANSPOSE(S$109:S$120),ROW()-ROW($G$125),0))</f>
        <v>27993.148230908409</v>
      </c>
      <c r="T134" s="3" cm="1">
        <f t="array" ref="T134">SUM(INDEX(NUT2_to_IC_matrix_population*TRANSPOSE(T$109:T$120),ROW()-ROW($G$125),0))</f>
        <v>173446.69816597819</v>
      </c>
      <c r="U134" s="3" cm="1">
        <f t="array" ref="U134">SUM(INDEX(NUT2_to_IC_matrix_population*TRANSPOSE(U$109:U$120),ROW()-ROW($G$125),0))</f>
        <v>36898.217536914584</v>
      </c>
    </row>
    <row r="136" spans="7:21" x14ac:dyDescent="0.35">
      <c r="H136" s="40">
        <f>SUM(H109:H119)</f>
        <v>5946890.22568064</v>
      </c>
      <c r="I136" s="40">
        <f t="shared" ref="I136:M136" si="22">SUM(I109:I119)</f>
        <v>16577.818413237168</v>
      </c>
      <c r="J136" s="40">
        <f t="shared" si="22"/>
        <v>138615.01048693885</v>
      </c>
      <c r="K136" s="40">
        <f t="shared" si="22"/>
        <v>860001.95231543097</v>
      </c>
      <c r="L136" s="40">
        <f t="shared" si="22"/>
        <v>4057285.9278272362</v>
      </c>
      <c r="M136" s="40">
        <f t="shared" si="22"/>
        <v>1889604.2978534042</v>
      </c>
      <c r="P136" s="40">
        <f>SUM(P109:P120)</f>
        <v>8917107</v>
      </c>
      <c r="Q136" s="40">
        <f t="shared" ref="Q136:U136" si="23">SUM(Q109:Q120)</f>
        <v>9315.9999999999982</v>
      </c>
      <c r="R136" s="40">
        <f t="shared" si="23"/>
        <v>158108</v>
      </c>
      <c r="S136" s="40">
        <f t="shared" si="23"/>
        <v>1057084</v>
      </c>
      <c r="T136" s="40">
        <f t="shared" si="23"/>
        <v>6016116.0056689093</v>
      </c>
      <c r="U136" s="40">
        <f t="shared" si="23"/>
        <v>2900990.9943310902</v>
      </c>
    </row>
    <row r="137" spans="7:21" x14ac:dyDescent="0.35">
      <c r="H137" s="40">
        <f>SUM(H126:H133)</f>
        <v>5946807.6748304246</v>
      </c>
      <c r="I137" s="40">
        <f t="shared" ref="I137:M137" si="24">SUM(I126:I133)</f>
        <v>16577.669453421418</v>
      </c>
      <c r="J137" s="40">
        <f t="shared" si="24"/>
        <v>138613.0863237991</v>
      </c>
      <c r="K137" s="40">
        <f t="shared" si="24"/>
        <v>859990.16472938168</v>
      </c>
      <c r="L137" s="40">
        <f t="shared" si="24"/>
        <v>4057222.7957103932</v>
      </c>
      <c r="M137" s="40">
        <f t="shared" si="24"/>
        <v>1889584.8791200316</v>
      </c>
      <c r="P137" s="40">
        <f>SUM(P126:P134)</f>
        <v>8917107</v>
      </c>
      <c r="Q137" s="40">
        <f t="shared" ref="Q137:U137" si="25">SUM(Q126:Q134)</f>
        <v>9315.9999999999982</v>
      </c>
      <c r="R137" s="40">
        <f t="shared" si="25"/>
        <v>158108</v>
      </c>
      <c r="S137" s="40">
        <f t="shared" si="25"/>
        <v>1057084</v>
      </c>
      <c r="T137" s="40">
        <f t="shared" si="25"/>
        <v>6016116.0056689102</v>
      </c>
      <c r="U137" s="40">
        <f t="shared" si="25"/>
        <v>2900990.9943310902</v>
      </c>
    </row>
    <row r="139" spans="7:21" ht="29" x14ac:dyDescent="0.35">
      <c r="G139" s="7" t="s">
        <v>156</v>
      </c>
      <c r="H139" s="7" t="s">
        <v>148</v>
      </c>
      <c r="I139" s="7" t="s">
        <v>149</v>
      </c>
      <c r="J139" s="7" t="s">
        <v>150</v>
      </c>
      <c r="K139" s="7" t="s">
        <v>147</v>
      </c>
      <c r="L139" s="7" t="s">
        <v>154</v>
      </c>
      <c r="M139" s="7" t="s">
        <v>155</v>
      </c>
      <c r="O139" s="7" t="s">
        <v>156</v>
      </c>
      <c r="P139" s="7" t="s">
        <v>148</v>
      </c>
      <c r="Q139" s="7" t="s">
        <v>149</v>
      </c>
      <c r="R139" s="7" t="s">
        <v>150</v>
      </c>
      <c r="S139" s="7" t="s">
        <v>147</v>
      </c>
      <c r="T139" s="7" t="s">
        <v>154</v>
      </c>
      <c r="U139" s="7" t="s">
        <v>155</v>
      </c>
    </row>
    <row r="140" spans="7:21" x14ac:dyDescent="0.35">
      <c r="G140" s="7" t="s">
        <v>57</v>
      </c>
      <c r="H140" s="3">
        <f>H126/1000</f>
        <v>793.95873591974453</v>
      </c>
      <c r="I140" s="3">
        <f t="shared" ref="I140:M140" si="26">I126/1000</f>
        <v>2.2295128639675132</v>
      </c>
      <c r="J140" s="3">
        <f t="shared" si="26"/>
        <v>18.506243486799182</v>
      </c>
      <c r="K140" s="3">
        <f t="shared" si="26"/>
        <v>115.33562899711231</v>
      </c>
      <c r="L140" s="3">
        <f t="shared" si="26"/>
        <v>571.74539085562583</v>
      </c>
      <c r="M140" s="3">
        <f t="shared" si="26"/>
        <v>222.21334506411861</v>
      </c>
      <c r="O140" s="7" t="s">
        <v>76</v>
      </c>
      <c r="P140" s="3">
        <f>P126/1000</f>
        <v>316.41151341407675</v>
      </c>
      <c r="Q140" s="3">
        <f t="shared" ref="Q140:U140" si="27">Q126/1000</f>
        <v>0.20537575718731993</v>
      </c>
      <c r="R140" s="3">
        <f t="shared" si="27"/>
        <v>4.6146430170929156</v>
      </c>
      <c r="S140" s="3">
        <f t="shared" si="27"/>
        <v>30.588521946434543</v>
      </c>
      <c r="T140" s="3">
        <f t="shared" si="27"/>
        <v>236.90618468815308</v>
      </c>
      <c r="U140" s="3">
        <f t="shared" si="27"/>
        <v>79.505328725923704</v>
      </c>
    </row>
    <row r="141" spans="7:21" x14ac:dyDescent="0.35">
      <c r="G141" s="7" t="s">
        <v>59</v>
      </c>
      <c r="H141" s="3">
        <f t="shared" ref="H141:M141" si="28">H127/1000</f>
        <v>663.065644028782</v>
      </c>
      <c r="I141" s="3">
        <f t="shared" si="28"/>
        <v>2.4596509481665558</v>
      </c>
      <c r="J141" s="3">
        <f t="shared" si="28"/>
        <v>15.455279602047639</v>
      </c>
      <c r="K141" s="3">
        <f t="shared" si="28"/>
        <v>94.921316240290992</v>
      </c>
      <c r="L141" s="3">
        <f t="shared" si="28"/>
        <v>428.39357374677354</v>
      </c>
      <c r="M141" s="3">
        <f t="shared" si="28"/>
        <v>234.6720702820086</v>
      </c>
      <c r="O141" s="7" t="s">
        <v>78</v>
      </c>
      <c r="P141" s="3">
        <f t="shared" ref="P141:U148" si="29">P127/1000</f>
        <v>2064.955909609962</v>
      </c>
      <c r="Q141" s="3">
        <f t="shared" si="29"/>
        <v>1.2585996541786741</v>
      </c>
      <c r="R141" s="3">
        <f t="shared" si="29"/>
        <v>38.280712836540893</v>
      </c>
      <c r="S141" s="3">
        <f t="shared" si="29"/>
        <v>255.2477705421982</v>
      </c>
      <c r="T141" s="3">
        <f t="shared" si="29"/>
        <v>1594.3012198362785</v>
      </c>
      <c r="U141" s="3">
        <f t="shared" si="29"/>
        <v>470.65468977368312</v>
      </c>
    </row>
    <row r="142" spans="7:21" x14ac:dyDescent="0.35">
      <c r="G142" s="7" t="s">
        <v>62</v>
      </c>
      <c r="H142" s="3">
        <f t="shared" ref="H142:M142" si="30">H128/1000</f>
        <v>1534.8381754781074</v>
      </c>
      <c r="I142" s="3">
        <f t="shared" si="30"/>
        <v>4.3629832828413848</v>
      </c>
      <c r="J142" s="3">
        <f t="shared" si="30"/>
        <v>35.77527106031318</v>
      </c>
      <c r="K142" s="3">
        <f t="shared" si="30"/>
        <v>222.30341957365843</v>
      </c>
      <c r="L142" s="3">
        <f t="shared" si="30"/>
        <v>841.64742019945754</v>
      </c>
      <c r="M142" s="3">
        <f t="shared" si="30"/>
        <v>693.1907552786497</v>
      </c>
      <c r="O142" s="7" t="s">
        <v>82</v>
      </c>
      <c r="P142" s="3">
        <f t="shared" si="29"/>
        <v>496.68495449832602</v>
      </c>
      <c r="Q142" s="3">
        <f t="shared" si="29"/>
        <v>1.0030888899135446</v>
      </c>
      <c r="R142" s="3">
        <f t="shared" si="29"/>
        <v>9.2651727979265868</v>
      </c>
      <c r="S142" s="3">
        <f t="shared" si="29"/>
        <v>62.669856216843499</v>
      </c>
      <c r="T142" s="3">
        <f t="shared" si="29"/>
        <v>368.98267205657635</v>
      </c>
      <c r="U142" s="3">
        <f t="shared" si="29"/>
        <v>127.70228244174967</v>
      </c>
    </row>
    <row r="143" spans="7:21" x14ac:dyDescent="0.35">
      <c r="G143" s="7" t="s">
        <v>65</v>
      </c>
      <c r="H143" s="3">
        <f t="shared" ref="H143:M143" si="31">H129/1000</f>
        <v>745.60787118059397</v>
      </c>
      <c r="I143" s="3">
        <f t="shared" si="31"/>
        <v>3.5788610270198196</v>
      </c>
      <c r="J143" s="3">
        <f t="shared" si="31"/>
        <v>17.379241748322865</v>
      </c>
      <c r="K143" s="3">
        <f t="shared" si="31"/>
        <v>109.11344669198522</v>
      </c>
      <c r="L143" s="3">
        <f t="shared" si="31"/>
        <v>569.91377718148703</v>
      </c>
      <c r="M143" s="3">
        <f t="shared" si="31"/>
        <v>175.69409399910694</v>
      </c>
      <c r="O143" s="7" t="s">
        <v>85</v>
      </c>
      <c r="P143" s="3">
        <f t="shared" si="29"/>
        <v>768.63840100689856</v>
      </c>
      <c r="Q143" s="3">
        <f t="shared" si="29"/>
        <v>1.7392644463400575</v>
      </c>
      <c r="R143" s="3">
        <f t="shared" si="29"/>
        <v>12.634861483770566</v>
      </c>
      <c r="S143" s="3">
        <f t="shared" si="29"/>
        <v>84.892979391680086</v>
      </c>
      <c r="T143" s="3">
        <f t="shared" si="29"/>
        <v>393.8487610210172</v>
      </c>
      <c r="U143" s="3">
        <f t="shared" si="29"/>
        <v>374.78963998588137</v>
      </c>
    </row>
    <row r="144" spans="7:21" x14ac:dyDescent="0.35">
      <c r="G144" s="7" t="s">
        <v>68</v>
      </c>
      <c r="H144" s="3">
        <f t="shared" ref="H144:M144" si="32">H130/1000</f>
        <v>888.3962759036051</v>
      </c>
      <c r="I144" s="3">
        <f t="shared" si="32"/>
        <v>1.4109352969270865</v>
      </c>
      <c r="J144" s="3">
        <f t="shared" si="32"/>
        <v>20.707471372038203</v>
      </c>
      <c r="K144" s="3">
        <f t="shared" si="32"/>
        <v>128.11438866336499</v>
      </c>
      <c r="L144" s="3">
        <f t="shared" si="32"/>
        <v>668.67973720897453</v>
      </c>
      <c r="M144" s="3">
        <f t="shared" si="32"/>
        <v>219.71653869463071</v>
      </c>
      <c r="O144" s="7" t="s">
        <v>87</v>
      </c>
      <c r="P144" s="3">
        <f t="shared" si="29"/>
        <v>710.44671580482554</v>
      </c>
      <c r="Q144" s="3">
        <f t="shared" si="29"/>
        <v>1.6853610501440921</v>
      </c>
      <c r="R144" s="3">
        <f t="shared" si="29"/>
        <v>13.960905548156457</v>
      </c>
      <c r="S144" s="3">
        <f t="shared" si="29"/>
        <v>93.811558817975978</v>
      </c>
      <c r="T144" s="3">
        <f t="shared" si="29"/>
        <v>499.30444042501415</v>
      </c>
      <c r="U144" s="3">
        <f t="shared" si="29"/>
        <v>211.14227537981145</v>
      </c>
    </row>
    <row r="145" spans="7:21" x14ac:dyDescent="0.35">
      <c r="G145" s="7" t="s">
        <v>70</v>
      </c>
      <c r="H145" s="3">
        <f t="shared" ref="H145:M145" si="33">H131/1000</f>
        <v>349.27264725979302</v>
      </c>
      <c r="I145" s="3">
        <f t="shared" si="33"/>
        <v>0.63024898042305588</v>
      </c>
      <c r="J145" s="3">
        <f t="shared" si="33"/>
        <v>8.1411342441882582</v>
      </c>
      <c r="K145" s="3">
        <f t="shared" si="33"/>
        <v>49.873276574243107</v>
      </c>
      <c r="L145" s="3">
        <f t="shared" si="33"/>
        <v>267.11198636192779</v>
      </c>
      <c r="M145" s="3">
        <f t="shared" si="33"/>
        <v>82.160660897865256</v>
      </c>
      <c r="O145" s="7" t="s">
        <v>89</v>
      </c>
      <c r="P145" s="3">
        <f t="shared" si="29"/>
        <v>1081.0506233622514</v>
      </c>
      <c r="Q145" s="3">
        <f t="shared" si="29"/>
        <v>0.6467593534524495</v>
      </c>
      <c r="R145" s="3">
        <f t="shared" si="29"/>
        <v>18.382884324271771</v>
      </c>
      <c r="S145" s="3">
        <f t="shared" si="29"/>
        <v>122.6790184665104</v>
      </c>
      <c r="T145" s="3">
        <f t="shared" si="29"/>
        <v>640.62343337427251</v>
      </c>
      <c r="U145" s="3">
        <f t="shared" si="29"/>
        <v>440.42718998797892</v>
      </c>
    </row>
    <row r="146" spans="7:21" x14ac:dyDescent="0.35">
      <c r="G146" s="7" t="s">
        <v>71</v>
      </c>
      <c r="H146" s="3">
        <f t="shared" ref="H146:M147" si="34">H132/1000</f>
        <v>283.45967253132886</v>
      </c>
      <c r="I146" s="3">
        <f t="shared" si="34"/>
        <v>0.53061821414631194</v>
      </c>
      <c r="J146" s="3">
        <f t="shared" si="34"/>
        <v>6.6071112782407768</v>
      </c>
      <c r="K146" s="3">
        <f t="shared" si="34"/>
        <v>41.272290194758313</v>
      </c>
      <c r="L146" s="3">
        <f t="shared" si="34"/>
        <v>226.28507133848058</v>
      </c>
      <c r="M146" s="3">
        <f t="shared" si="34"/>
        <v>57.174601192848307</v>
      </c>
      <c r="O146" s="7" t="s">
        <v>91</v>
      </c>
      <c r="P146" s="3">
        <f t="shared" si="29"/>
        <v>1363.7604790740736</v>
      </c>
      <c r="Q146" s="3">
        <f t="shared" si="29"/>
        <v>0.57790235435158499</v>
      </c>
      <c r="R146" s="3">
        <f t="shared" si="29"/>
        <v>24.176406157904044</v>
      </c>
      <c r="S146" s="3">
        <f t="shared" si="29"/>
        <v>160.25252240178287</v>
      </c>
      <c r="T146" s="3">
        <f t="shared" si="29"/>
        <v>1042.6790430547312</v>
      </c>
      <c r="U146" s="3">
        <f t="shared" si="29"/>
        <v>321.08143601934216</v>
      </c>
    </row>
    <row r="147" spans="7:21" x14ac:dyDescent="0.35">
      <c r="G147" s="7" t="s">
        <v>73</v>
      </c>
      <c r="H147" s="3">
        <f t="shared" si="34"/>
        <v>688.20865252846977</v>
      </c>
      <c r="I147" s="3">
        <f t="shared" si="34"/>
        <v>1.3748588399296928</v>
      </c>
      <c r="J147" s="3">
        <f t="shared" si="34"/>
        <v>16.041333531848995</v>
      </c>
      <c r="K147" s="3">
        <f t="shared" si="34"/>
        <v>99.056397793968372</v>
      </c>
      <c r="L147" s="3">
        <f t="shared" si="34"/>
        <v>483.44583881766619</v>
      </c>
      <c r="M147" s="3">
        <f t="shared" si="34"/>
        <v>204.7628137108037</v>
      </c>
      <c r="O147" s="7" t="s">
        <v>93</v>
      </c>
      <c r="P147" s="3">
        <f t="shared" si="29"/>
        <v>1904.8134875266937</v>
      </c>
      <c r="Q147" s="3">
        <f t="shared" si="29"/>
        <v>2.0761510880922187</v>
      </c>
      <c r="R147" s="3">
        <f t="shared" si="29"/>
        <v>32.650065301848876</v>
      </c>
      <c r="S147" s="3">
        <f t="shared" si="29"/>
        <v>218.94862398566602</v>
      </c>
      <c r="T147" s="3">
        <f t="shared" si="29"/>
        <v>1066.0235530468885</v>
      </c>
      <c r="U147" s="3">
        <f t="shared" si="29"/>
        <v>838.7899344798052</v>
      </c>
    </row>
    <row r="148" spans="7:21" x14ac:dyDescent="0.35">
      <c r="O148" s="7" t="s">
        <v>95</v>
      </c>
      <c r="P148" s="3">
        <f t="shared" si="29"/>
        <v>210.34491570289279</v>
      </c>
      <c r="Q148" s="3">
        <f t="shared" si="29"/>
        <v>0.12349740634005764</v>
      </c>
      <c r="R148" s="3">
        <f t="shared" si="29"/>
        <v>4.1423485324878886</v>
      </c>
      <c r="S148" s="3">
        <f t="shared" si="29"/>
        <v>27.99314823090841</v>
      </c>
      <c r="T148" s="3">
        <f t="shared" si="29"/>
        <v>173.44669816597818</v>
      </c>
      <c r="U148" s="3">
        <f t="shared" si="29"/>
        <v>36.898217536914586</v>
      </c>
    </row>
  </sheetData>
  <mergeCells count="16">
    <mergeCell ref="T75:W87"/>
    <mergeCell ref="O103:S105"/>
    <mergeCell ref="T45:Z66"/>
    <mergeCell ref="N44:O44"/>
    <mergeCell ref="P44:Q44"/>
    <mergeCell ref="R44:S44"/>
    <mergeCell ref="H44:I44"/>
    <mergeCell ref="J44:K44"/>
    <mergeCell ref="L44:M44"/>
    <mergeCell ref="D6:N8"/>
    <mergeCell ref="N43:O43"/>
    <mergeCell ref="P43:Q43"/>
    <mergeCell ref="R43:S43"/>
    <mergeCell ref="H43:I43"/>
    <mergeCell ref="J43:K43"/>
    <mergeCell ref="L43:M43"/>
  </mergeCells>
  <hyperlinks>
    <hyperlink ref="M32" r:id="rId1" display="https://data.europa.eu/data/datasets/wqaxnii7saspegaymkpsq?locale=en" xr:uid="{66F94404-E15C-420B-A817-C98AC43C3573}"/>
    <hyperlink ref="M36" r:id="rId2" display="https://ec.europa.eu/eurostat/databrowser/view/cens_21dwbo_r2/default/table?lang=en" xr:uid="{BACC3D82-8C43-4F3C-915E-D67146D650E4}"/>
    <hyperlink ref="T45" r:id="rId3" xr:uid="{33001591-5038-4C78-80FA-D1D5442D436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91A4C-0364-4A4F-8729-1D932F0960A9}">
  <sheetPr>
    <tabColor theme="0"/>
  </sheetPr>
  <dimension ref="D6:V92"/>
  <sheetViews>
    <sheetView topLeftCell="D22" workbookViewId="0">
      <selection activeCell="V45" sqref="V45"/>
    </sheetView>
  </sheetViews>
  <sheetFormatPr defaultColWidth="9.1796875" defaultRowHeight="14.5" x14ac:dyDescent="0.35"/>
  <cols>
    <col min="1" max="3" width="9.1796875" style="4"/>
    <col min="4" max="4" width="13.453125" style="4" bestFit="1" customWidth="1"/>
    <col min="5" max="5" width="13.453125" style="4" customWidth="1"/>
    <col min="6" max="6" width="15.08984375" style="4" bestFit="1" customWidth="1"/>
    <col min="7" max="7" width="15.08984375" style="4" customWidth="1"/>
    <col min="8" max="8" width="65.36328125" style="4" bestFit="1" customWidth="1"/>
    <col min="9" max="9" width="53.81640625" style="4" customWidth="1"/>
    <col min="10" max="10" width="9.1796875" style="4"/>
    <col min="11" max="11" width="26.36328125" style="4" customWidth="1"/>
    <col min="12" max="12" width="25.1796875" style="4" customWidth="1"/>
    <col min="13" max="13" width="18.26953125" style="4" bestFit="1" customWidth="1"/>
    <col min="14" max="20" width="9.1796875" style="4"/>
    <col min="21" max="22" width="11.36328125" style="4" bestFit="1" customWidth="1"/>
    <col min="23" max="16384" width="9.1796875" style="4"/>
  </cols>
  <sheetData>
    <row r="6" spans="4:16" x14ac:dyDescent="0.35">
      <c r="D6" s="14" t="s">
        <v>26</v>
      </c>
      <c r="E6" s="14"/>
      <c r="F6" s="14"/>
      <c r="G6" s="14"/>
      <c r="H6" s="14"/>
      <c r="I6" s="14"/>
      <c r="J6" s="14"/>
      <c r="K6" s="14"/>
      <c r="L6" s="14"/>
      <c r="M6" s="14"/>
      <c r="N6" s="14"/>
      <c r="O6" s="14"/>
      <c r="P6" s="14"/>
    </row>
    <row r="7" spans="4:16" x14ac:dyDescent="0.35">
      <c r="D7" s="14"/>
      <c r="E7" s="14"/>
      <c r="F7" s="14"/>
      <c r="G7" s="14"/>
      <c r="H7" s="14"/>
      <c r="I7" s="14"/>
      <c r="J7" s="14"/>
      <c r="K7" s="14"/>
      <c r="L7" s="14"/>
      <c r="M7" s="14"/>
      <c r="N7" s="14"/>
      <c r="O7" s="14"/>
      <c r="P7" s="14"/>
    </row>
    <row r="8" spans="4:16" x14ac:dyDescent="0.35">
      <c r="D8" s="14"/>
      <c r="E8" s="14"/>
      <c r="F8" s="14"/>
      <c r="G8" s="14"/>
      <c r="H8" s="14"/>
      <c r="I8" s="14"/>
      <c r="J8" s="14"/>
      <c r="K8" s="14"/>
      <c r="L8" s="14"/>
      <c r="M8" s="14"/>
      <c r="N8" s="14"/>
      <c r="O8" s="14"/>
      <c r="P8" s="14"/>
    </row>
    <row r="25" spans="4:21" x14ac:dyDescent="0.35">
      <c r="D25" s="7" t="s">
        <v>40</v>
      </c>
      <c r="E25" s="7" t="s">
        <v>39</v>
      </c>
      <c r="F25" s="7" t="s">
        <v>38</v>
      </c>
      <c r="G25" s="7" t="s">
        <v>55</v>
      </c>
      <c r="I25" s="7" t="s">
        <v>40</v>
      </c>
      <c r="J25" s="7" t="s">
        <v>39</v>
      </c>
      <c r="K25" s="7" t="s">
        <v>132</v>
      </c>
      <c r="L25" s="7" t="s">
        <v>133</v>
      </c>
      <c r="M25" s="7" t="s">
        <v>134</v>
      </c>
    </row>
    <row r="26" spans="4:21" ht="29" customHeight="1" x14ac:dyDescent="0.35">
      <c r="D26" s="7" t="s">
        <v>42</v>
      </c>
      <c r="E26" s="7"/>
      <c r="F26" s="1">
        <v>11669</v>
      </c>
      <c r="G26" s="10"/>
      <c r="H26" s="20" t="s">
        <v>41</v>
      </c>
      <c r="I26" s="7" t="s">
        <v>42</v>
      </c>
      <c r="J26" s="7"/>
      <c r="K26" s="1">
        <v>7503818</v>
      </c>
      <c r="L26" s="1">
        <v>4950815</v>
      </c>
      <c r="M26" s="18" cm="1">
        <f t="array" ref="M26:M38">One_dwelling_NL/Residential_NL</f>
        <v>0.65977279832746472</v>
      </c>
      <c r="N26" s="30"/>
      <c r="O26" s="30"/>
      <c r="P26" s="30"/>
      <c r="Q26" s="30"/>
      <c r="R26" s="30"/>
      <c r="S26" s="30"/>
      <c r="T26" s="30"/>
      <c r="U26" s="30"/>
    </row>
    <row r="27" spans="4:21" x14ac:dyDescent="0.35">
      <c r="D27" s="7" t="s">
        <v>43</v>
      </c>
      <c r="E27" s="7" t="str" cm="1">
        <f t="array" ref="E27:E38">TRANSPOSE(NUTS2)</f>
        <v>NL11</v>
      </c>
      <c r="F27" s="1">
        <v>11468</v>
      </c>
      <c r="G27" s="21" cm="1">
        <f t="array" ref="G27:G38">Kilometrage_Provinces/Kilometrage_NL</f>
        <v>0.98277487359670923</v>
      </c>
      <c r="H27" s="20"/>
      <c r="I27" s="7" t="s">
        <v>43</v>
      </c>
      <c r="J27" s="7" t="str" cm="1">
        <f t="array" ref="J27:J38">TRANSPOSE(NUTS2)</f>
        <v>NL11</v>
      </c>
      <c r="K27" s="1">
        <v>266892</v>
      </c>
      <c r="L27" s="1">
        <v>179944</v>
      </c>
      <c r="M27" s="18">
        <v>0.67422028386013821</v>
      </c>
      <c r="N27" s="29"/>
      <c r="O27" s="29"/>
      <c r="P27" s="29"/>
      <c r="Q27" s="29"/>
      <c r="R27" s="29"/>
      <c r="S27" s="29"/>
      <c r="T27" s="29"/>
      <c r="U27" s="29"/>
    </row>
    <row r="28" spans="4:21" x14ac:dyDescent="0.35">
      <c r="D28" s="7" t="s">
        <v>44</v>
      </c>
      <c r="E28" s="7" t="str">
        <v>NL12</v>
      </c>
      <c r="F28" s="1">
        <v>13285</v>
      </c>
      <c r="G28" s="21">
        <v>1.1384865883966064</v>
      </c>
      <c r="H28" s="20"/>
      <c r="I28" s="7" t="s">
        <v>44</v>
      </c>
      <c r="J28" s="7" t="str">
        <v>NL12</v>
      </c>
      <c r="K28" s="1">
        <v>284987</v>
      </c>
      <c r="L28" s="1">
        <v>236552</v>
      </c>
      <c r="M28" s="18">
        <v>0.83004487924010573</v>
      </c>
      <c r="N28" s="30"/>
      <c r="O28" s="30"/>
      <c r="P28" s="30"/>
      <c r="Q28" s="30"/>
      <c r="R28" s="30"/>
      <c r="S28" s="30"/>
      <c r="T28" s="30"/>
      <c r="U28" s="30"/>
    </row>
    <row r="29" spans="4:21" x14ac:dyDescent="0.35">
      <c r="D29" s="7" t="s">
        <v>45</v>
      </c>
      <c r="E29" s="7" t="str">
        <v>NL13</v>
      </c>
      <c r="F29" s="1">
        <v>13763</v>
      </c>
      <c r="G29" s="21">
        <v>1.1794498243208502</v>
      </c>
      <c r="H29" s="20"/>
      <c r="I29" s="7" t="s">
        <v>45</v>
      </c>
      <c r="J29" s="7" t="str">
        <v>NL13</v>
      </c>
      <c r="K29" s="1">
        <v>211634</v>
      </c>
      <c r="L29" s="1">
        <v>178129</v>
      </c>
      <c r="M29" s="18">
        <v>0.84168422843210444</v>
      </c>
      <c r="N29" s="29"/>
      <c r="O29" s="29"/>
      <c r="P29" s="29"/>
      <c r="Q29" s="29"/>
      <c r="R29" s="29"/>
      <c r="S29" s="29"/>
      <c r="T29" s="29"/>
      <c r="U29" s="29"/>
    </row>
    <row r="30" spans="4:21" x14ac:dyDescent="0.35">
      <c r="D30" s="7" t="s">
        <v>46</v>
      </c>
      <c r="E30" s="7" t="str">
        <v>NL21</v>
      </c>
      <c r="F30" s="1">
        <v>12487</v>
      </c>
      <c r="G30" s="21">
        <v>1.0701002656611536</v>
      </c>
      <c r="H30" s="20"/>
      <c r="I30" s="7" t="s">
        <v>46</v>
      </c>
      <c r="J30" s="7" t="str">
        <v>NL21</v>
      </c>
      <c r="K30" s="1">
        <v>485151</v>
      </c>
      <c r="L30" s="1">
        <v>375686</v>
      </c>
      <c r="M30" s="18">
        <v>0.77436921700666395</v>
      </c>
      <c r="N30" s="30"/>
      <c r="O30" s="30"/>
      <c r="P30" s="30"/>
      <c r="Q30" s="30"/>
      <c r="R30" s="30"/>
      <c r="S30" s="30"/>
      <c r="T30" s="30"/>
      <c r="U30" s="30"/>
    </row>
    <row r="31" spans="4:21" ht="29" x14ac:dyDescent="0.35">
      <c r="D31" s="7" t="s">
        <v>48</v>
      </c>
      <c r="E31" s="7" t="str">
        <v>NL22</v>
      </c>
      <c r="F31" s="1">
        <v>12746</v>
      </c>
      <c r="G31" s="21">
        <v>1.0922958265489759</v>
      </c>
      <c r="H31" s="20"/>
      <c r="I31" s="7" t="s">
        <v>48</v>
      </c>
      <c r="J31" s="7" t="str">
        <v>NL22</v>
      </c>
      <c r="K31" s="1">
        <v>872702</v>
      </c>
      <c r="L31" s="1">
        <v>665273</v>
      </c>
      <c r="M31" s="18">
        <v>0.76231405451116185</v>
      </c>
      <c r="N31" s="29"/>
      <c r="O31" s="29"/>
      <c r="P31" s="29"/>
      <c r="Q31" s="29"/>
      <c r="R31" s="29"/>
      <c r="S31" s="29"/>
      <c r="T31" s="29"/>
      <c r="U31" s="29"/>
    </row>
    <row r="32" spans="4:21" x14ac:dyDescent="0.35">
      <c r="D32" s="7" t="s">
        <v>47</v>
      </c>
      <c r="E32" s="7" t="str">
        <v>NL23</v>
      </c>
      <c r="F32" s="1">
        <v>13211</v>
      </c>
      <c r="G32" s="21">
        <v>1.1321449995715143</v>
      </c>
      <c r="H32" s="20"/>
      <c r="I32" s="7" t="s">
        <v>47</v>
      </c>
      <c r="J32" s="7" t="str">
        <v>NL23</v>
      </c>
      <c r="K32" s="1">
        <v>168140</v>
      </c>
      <c r="L32" s="1">
        <v>134036</v>
      </c>
      <c r="M32" s="18">
        <v>0.79716902581182347</v>
      </c>
      <c r="N32" s="30"/>
      <c r="O32" s="30"/>
      <c r="P32" s="30"/>
      <c r="Q32" s="30"/>
      <c r="R32" s="30"/>
      <c r="S32" s="30"/>
      <c r="T32" s="30"/>
      <c r="U32" s="30"/>
    </row>
    <row r="33" spans="4:22" x14ac:dyDescent="0.35">
      <c r="D33" s="7" t="s">
        <v>49</v>
      </c>
      <c r="E33" s="7" t="str">
        <v>NL31</v>
      </c>
      <c r="F33" s="1">
        <v>12645</v>
      </c>
      <c r="G33" s="21">
        <v>1.083640414774188</v>
      </c>
      <c r="H33" s="20"/>
      <c r="I33" s="7" t="s">
        <v>49</v>
      </c>
      <c r="J33" s="7" t="str">
        <v>NL31</v>
      </c>
      <c r="K33" s="1">
        <v>562330</v>
      </c>
      <c r="L33" s="1">
        <v>362581</v>
      </c>
      <c r="M33" s="18">
        <v>0.64478331228993646</v>
      </c>
      <c r="N33" s="29"/>
      <c r="O33" s="29"/>
      <c r="P33" s="29"/>
      <c r="Q33" s="29"/>
      <c r="R33" s="29"/>
      <c r="S33" s="29"/>
      <c r="T33" s="29"/>
      <c r="U33" s="29"/>
    </row>
    <row r="34" spans="4:22" ht="29" x14ac:dyDescent="0.35">
      <c r="D34" s="7" t="s">
        <v>50</v>
      </c>
      <c r="E34" s="7" t="str">
        <v>NL32</v>
      </c>
      <c r="F34" s="1">
        <v>10450</v>
      </c>
      <c r="G34" s="21">
        <v>0.89553517867855004</v>
      </c>
      <c r="H34" s="20"/>
      <c r="I34" s="7" t="s">
        <v>50</v>
      </c>
      <c r="J34" s="7" t="str">
        <v>NL32</v>
      </c>
      <c r="K34" s="1">
        <v>1276539</v>
      </c>
      <c r="L34" s="1">
        <v>654096</v>
      </c>
      <c r="M34" s="18">
        <v>0.51239797609003723</v>
      </c>
      <c r="N34" s="30"/>
      <c r="O34" s="30"/>
      <c r="P34" s="30"/>
      <c r="Q34" s="30"/>
      <c r="R34" s="30"/>
      <c r="S34" s="30"/>
      <c r="T34" s="30"/>
      <c r="U34" s="30"/>
    </row>
    <row r="35" spans="4:22" ht="29" x14ac:dyDescent="0.35">
      <c r="D35" s="7" t="s">
        <v>51</v>
      </c>
      <c r="E35" s="7" t="str">
        <v>NL33</v>
      </c>
      <c r="F35" s="1">
        <v>10580</v>
      </c>
      <c r="G35" s="21">
        <v>0.90667580769560374</v>
      </c>
      <c r="H35" s="20"/>
      <c r="I35" s="7" t="s">
        <v>51</v>
      </c>
      <c r="J35" s="7" t="str">
        <v>NL33</v>
      </c>
      <c r="K35" s="1">
        <v>1605551</v>
      </c>
      <c r="L35" s="1">
        <v>804490</v>
      </c>
      <c r="M35" s="18">
        <v>0.50106785770118789</v>
      </c>
      <c r="N35" s="29"/>
      <c r="O35" s="29"/>
      <c r="P35" s="29"/>
      <c r="Q35" s="29"/>
      <c r="R35" s="29"/>
      <c r="S35" s="29"/>
      <c r="T35" s="29"/>
      <c r="U35" s="29"/>
    </row>
    <row r="36" spans="4:22" x14ac:dyDescent="0.35">
      <c r="D36" s="7" t="s">
        <v>52</v>
      </c>
      <c r="E36" s="7" t="str">
        <v>NL34</v>
      </c>
      <c r="F36" s="1">
        <v>12308</v>
      </c>
      <c r="G36" s="21">
        <v>1.0547604764761334</v>
      </c>
      <c r="H36" s="20"/>
      <c r="I36" s="7" t="s">
        <v>52</v>
      </c>
      <c r="J36" s="7" t="str">
        <v>NL34</v>
      </c>
      <c r="K36" s="1">
        <v>171123</v>
      </c>
      <c r="L36" s="1">
        <v>141105</v>
      </c>
      <c r="M36" s="18">
        <v>0.82458231798180259</v>
      </c>
      <c r="N36" s="30"/>
      <c r="O36" s="30"/>
      <c r="P36" s="30"/>
      <c r="Q36" s="30"/>
      <c r="R36" s="30"/>
      <c r="S36" s="30"/>
      <c r="T36" s="30"/>
      <c r="U36" s="30"/>
    </row>
    <row r="37" spans="4:22" ht="29" x14ac:dyDescent="0.35">
      <c r="D37" s="7" t="s">
        <v>53</v>
      </c>
      <c r="E37" s="7" t="str">
        <v>NL41</v>
      </c>
      <c r="F37" s="1">
        <v>12342</v>
      </c>
      <c r="G37" s="21">
        <v>1.0576741794498243</v>
      </c>
      <c r="H37" s="20"/>
      <c r="I37" s="7" t="s">
        <v>53</v>
      </c>
      <c r="J37" s="7" t="str">
        <v>NL41</v>
      </c>
      <c r="K37" s="1">
        <v>1095593</v>
      </c>
      <c r="L37" s="1">
        <v>842181</v>
      </c>
      <c r="M37" s="18">
        <v>0.76869877773954376</v>
      </c>
      <c r="N37" s="29"/>
      <c r="O37" s="29"/>
      <c r="P37" s="29"/>
      <c r="Q37" s="29"/>
      <c r="R37" s="29"/>
      <c r="S37" s="29"/>
      <c r="T37" s="29"/>
      <c r="U37" s="29"/>
    </row>
    <row r="38" spans="4:22" x14ac:dyDescent="0.35">
      <c r="D38" s="7" t="s">
        <v>54</v>
      </c>
      <c r="E38" s="7" t="str">
        <v>NL42</v>
      </c>
      <c r="F38" s="1">
        <v>10295</v>
      </c>
      <c r="G38" s="21">
        <v>0.88225212100437056</v>
      </c>
      <c r="H38" s="20"/>
      <c r="I38" s="7" t="s">
        <v>54</v>
      </c>
      <c r="J38" s="7" t="str">
        <v>NL42</v>
      </c>
      <c r="K38" s="1">
        <v>503176</v>
      </c>
      <c r="L38" s="1">
        <v>376742</v>
      </c>
      <c r="M38" s="18">
        <v>0.74872807924066331</v>
      </c>
      <c r="N38" s="30"/>
      <c r="O38" s="30"/>
      <c r="P38" s="30"/>
      <c r="Q38" s="30"/>
      <c r="R38" s="30"/>
      <c r="S38" s="30"/>
      <c r="T38" s="30"/>
      <c r="U38" s="30"/>
    </row>
    <row r="41" spans="4:22" ht="15" thickBot="1" x14ac:dyDescent="0.4"/>
    <row r="42" spans="4:22" ht="15.5" thickTop="1" thickBot="1" x14ac:dyDescent="0.4">
      <c r="F42" t="s">
        <v>57</v>
      </c>
      <c r="G42" s="9">
        <v>1</v>
      </c>
      <c r="H42" s="23" t="s">
        <v>105</v>
      </c>
    </row>
    <row r="43" spans="4:22" ht="15.5" thickTop="1" thickBot="1" x14ac:dyDescent="0.4">
      <c r="F43" t="s">
        <v>59</v>
      </c>
      <c r="G43" s="9">
        <v>1</v>
      </c>
      <c r="H43" s="23"/>
      <c r="I43" s="7" t="s">
        <v>104</v>
      </c>
      <c r="J43" s="7" t="s">
        <v>81</v>
      </c>
      <c r="K43" s="7" t="s">
        <v>86</v>
      </c>
      <c r="L43" s="7" t="s">
        <v>83</v>
      </c>
      <c r="M43" s="7" t="s">
        <v>77</v>
      </c>
      <c r="N43" s="7" t="s">
        <v>79</v>
      </c>
      <c r="O43" s="7" t="s">
        <v>80</v>
      </c>
      <c r="P43" s="7" t="s">
        <v>92</v>
      </c>
      <c r="Q43" s="7" t="s">
        <v>84</v>
      </c>
      <c r="R43" s="7" t="s">
        <v>88</v>
      </c>
      <c r="S43" s="7" t="s">
        <v>94</v>
      </c>
      <c r="T43" s="7" t="s">
        <v>90</v>
      </c>
      <c r="U43" s="7" t="s">
        <v>75</v>
      </c>
      <c r="V43" s="7" t="s">
        <v>103</v>
      </c>
    </row>
    <row r="44" spans="4:22" ht="15.5" thickTop="1" thickBot="1" x14ac:dyDescent="0.4">
      <c r="F44" t="s">
        <v>62</v>
      </c>
      <c r="G44" s="9">
        <v>1</v>
      </c>
      <c r="H44" s="23"/>
      <c r="I44" s="7" t="str" cm="1">
        <f t="array" ref="I44:I52">IC</f>
        <v>NLCHE</v>
      </c>
      <c r="J44" s="10" cm="1">
        <f t="array" ref="J44:U52">Percentage_NUTS_IC*TRANSPOSE(Kilometrage_Ratios_province)</f>
        <v>0</v>
      </c>
      <c r="K44" s="10">
        <v>0</v>
      </c>
      <c r="L44" s="10">
        <v>0</v>
      </c>
      <c r="M44" s="10">
        <v>0</v>
      </c>
      <c r="N44" s="10">
        <v>0</v>
      </c>
      <c r="O44" s="10">
        <v>0</v>
      </c>
      <c r="P44" s="10">
        <v>0</v>
      </c>
      <c r="Q44" s="10">
        <v>0</v>
      </c>
      <c r="R44" s="10">
        <v>0</v>
      </c>
      <c r="S44" s="10">
        <v>0</v>
      </c>
      <c r="T44" s="10">
        <v>0</v>
      </c>
      <c r="U44" s="10">
        <v>0.88225212100437056</v>
      </c>
      <c r="V44" s="3">
        <f>SUM(INDEX(Kilomterage_matrix_weight_pop,ROW()-ROW(Ref_cell_km_weighted),0))</f>
        <v>0.88225212100437056</v>
      </c>
    </row>
    <row r="45" spans="4:22" ht="15.5" thickTop="1" thickBot="1" x14ac:dyDescent="0.4">
      <c r="F45" t="s">
        <v>65</v>
      </c>
      <c r="G45" s="9">
        <v>1</v>
      </c>
      <c r="H45" s="23"/>
      <c r="I45" s="7" t="str">
        <v>NLEAS</v>
      </c>
      <c r="J45" s="10">
        <v>0</v>
      </c>
      <c r="K45" s="10">
        <v>0</v>
      </c>
      <c r="L45" s="10">
        <v>0</v>
      </c>
      <c r="M45" s="10">
        <v>0.35670008855371782</v>
      </c>
      <c r="N45" s="10">
        <v>0.36409860884965861</v>
      </c>
      <c r="O45" s="10">
        <v>0.37738166652383809</v>
      </c>
      <c r="P45" s="10">
        <v>0</v>
      </c>
      <c r="Q45" s="10">
        <v>0</v>
      </c>
      <c r="R45" s="10">
        <v>0</v>
      </c>
      <c r="S45" s="10">
        <v>0</v>
      </c>
      <c r="T45" s="10">
        <v>0</v>
      </c>
      <c r="U45" s="10">
        <v>0</v>
      </c>
      <c r="V45" s="3">
        <f>SUM(INDEX(Kilomterage_matrix_weight_pop,ROW()-ROW(Ref_cell_km_weighted),0))</f>
        <v>1.0981803639272145</v>
      </c>
    </row>
    <row r="46" spans="4:22" ht="15.5" thickTop="1" thickBot="1" x14ac:dyDescent="0.4">
      <c r="F46" t="s">
        <v>68</v>
      </c>
      <c r="G46" s="9">
        <v>1</v>
      </c>
      <c r="H46" s="23"/>
      <c r="I46" s="7" t="str">
        <v>NLEEM</v>
      </c>
      <c r="J46" s="10">
        <v>0.56807796161659496</v>
      </c>
      <c r="K46" s="10">
        <v>0</v>
      </c>
      <c r="L46" s="10">
        <v>0.49768692008914489</v>
      </c>
      <c r="M46" s="10">
        <v>0</v>
      </c>
      <c r="N46" s="10">
        <v>0</v>
      </c>
      <c r="O46" s="10">
        <v>0</v>
      </c>
      <c r="P46" s="10">
        <v>0</v>
      </c>
      <c r="Q46" s="10">
        <v>0</v>
      </c>
      <c r="R46" s="10">
        <v>0</v>
      </c>
      <c r="S46" s="10">
        <v>0</v>
      </c>
      <c r="T46" s="10">
        <v>0</v>
      </c>
      <c r="U46" s="10">
        <v>0</v>
      </c>
      <c r="V46" s="3">
        <f>SUM(INDEX(Kilomterage_matrix_weight_pop,ROW()-ROW(Ref_cell_km_weighted),0))</f>
        <v>1.0657648817057399</v>
      </c>
    </row>
    <row r="47" spans="4:22" ht="15.5" thickTop="1" thickBot="1" x14ac:dyDescent="0.4">
      <c r="F47" t="s">
        <v>70</v>
      </c>
      <c r="G47" s="9">
        <v>1</v>
      </c>
      <c r="H47" s="23"/>
      <c r="I47" s="7" t="str">
        <v>NLNOO</v>
      </c>
      <c r="J47" s="10">
        <v>0</v>
      </c>
      <c r="K47" s="10">
        <v>0</v>
      </c>
      <c r="L47" s="10">
        <v>0</v>
      </c>
      <c r="M47" s="10">
        <v>0</v>
      </c>
      <c r="N47" s="10">
        <v>0</v>
      </c>
      <c r="O47" s="10">
        <v>0</v>
      </c>
      <c r="P47" s="10">
        <v>0</v>
      </c>
      <c r="Q47" s="10">
        <v>0.89553517867855004</v>
      </c>
      <c r="R47" s="10">
        <v>0</v>
      </c>
      <c r="S47" s="10">
        <v>0</v>
      </c>
      <c r="T47" s="10">
        <v>0</v>
      </c>
      <c r="U47" s="10">
        <v>0</v>
      </c>
      <c r="V47" s="3">
        <f>SUM(INDEX(Kilomterage_matrix_weight_pop,ROW()-ROW(Ref_cell_km_weighted),0))</f>
        <v>0.89553517867855004</v>
      </c>
    </row>
    <row r="48" spans="4:22" ht="15.5" thickTop="1" thickBot="1" x14ac:dyDescent="0.4">
      <c r="F48" t="s">
        <v>71</v>
      </c>
      <c r="G48" s="9">
        <v>1</v>
      </c>
      <c r="H48" s="23"/>
      <c r="I48" s="7" t="str">
        <v>NLNOR</v>
      </c>
      <c r="J48" s="10">
        <v>0</v>
      </c>
      <c r="K48" s="10">
        <v>0.76127488358181628</v>
      </c>
      <c r="L48" s="10">
        <v>0.21293978774097599</v>
      </c>
      <c r="M48" s="10">
        <v>0</v>
      </c>
      <c r="N48" s="10">
        <v>0</v>
      </c>
      <c r="O48" s="10">
        <v>0</v>
      </c>
      <c r="P48" s="10">
        <v>0</v>
      </c>
      <c r="Q48" s="10">
        <v>0.13503389019860451</v>
      </c>
      <c r="R48" s="10">
        <v>0</v>
      </c>
      <c r="S48" s="10">
        <v>0</v>
      </c>
      <c r="T48" s="10">
        <v>0</v>
      </c>
      <c r="U48" s="10">
        <v>0</v>
      </c>
      <c r="V48" s="3">
        <f>SUM(INDEX(Kilomterage_matrix_weight_pop,ROW()-ROW(Ref_cell_km_weighted),0))</f>
        <v>1.1092485615213967</v>
      </c>
    </row>
    <row r="49" spans="6:22" ht="15.5" thickTop="1" thickBot="1" x14ac:dyDescent="0.4">
      <c r="F49" t="s">
        <v>73</v>
      </c>
      <c r="G49" s="9">
        <v>1</v>
      </c>
      <c r="H49" s="23"/>
      <c r="I49" s="7" t="str">
        <v>NLROT</v>
      </c>
      <c r="J49" s="10">
        <v>0</v>
      </c>
      <c r="K49" s="10">
        <v>0</v>
      </c>
      <c r="L49" s="10">
        <v>0</v>
      </c>
      <c r="M49" s="10">
        <v>0</v>
      </c>
      <c r="N49" s="10">
        <v>0</v>
      </c>
      <c r="O49" s="10">
        <v>0</v>
      </c>
      <c r="P49" s="10">
        <v>0</v>
      </c>
      <c r="Q49" s="10">
        <v>0</v>
      </c>
      <c r="R49" s="10">
        <v>0.57132815810808757</v>
      </c>
      <c r="S49" s="10">
        <v>0</v>
      </c>
      <c r="T49" s="10">
        <v>0.39119666268517234</v>
      </c>
      <c r="U49" s="10">
        <v>0</v>
      </c>
      <c r="V49" s="3">
        <f>SUM(INDEX(Kilomterage_matrix_weight_pop,ROW()-ROW(Ref_cell_km_weighted),0))</f>
        <v>0.96252482079325996</v>
      </c>
    </row>
    <row r="50" spans="6:22" ht="15" thickTop="1" x14ac:dyDescent="0.35">
      <c r="I50" s="7" t="str">
        <v>NLSOU</v>
      </c>
      <c r="J50" s="10">
        <v>0</v>
      </c>
      <c r="K50" s="10">
        <v>0</v>
      </c>
      <c r="L50" s="10">
        <v>0</v>
      </c>
      <c r="M50" s="10">
        <v>0</v>
      </c>
      <c r="N50" s="10">
        <v>0</v>
      </c>
      <c r="O50" s="10">
        <v>0</v>
      </c>
      <c r="P50" s="10">
        <v>0</v>
      </c>
      <c r="Q50" s="10">
        <v>0</v>
      </c>
      <c r="R50" s="10">
        <v>0</v>
      </c>
      <c r="S50" s="10">
        <v>0</v>
      </c>
      <c r="T50" s="10">
        <v>0.64769397528639094</v>
      </c>
      <c r="U50" s="10">
        <v>0.3419823530920878</v>
      </c>
      <c r="V50" s="3">
        <f>SUM(INDEX(Kilomterage_matrix_weight_pop,ROW()-ROW(Ref_cell_km_weighted),0))</f>
        <v>0.98967632837847874</v>
      </c>
    </row>
    <row r="51" spans="6:22" x14ac:dyDescent="0.35">
      <c r="I51" s="7" t="str">
        <v>NLWES</v>
      </c>
      <c r="J51" s="10">
        <v>0</v>
      </c>
      <c r="K51" s="10">
        <v>0</v>
      </c>
      <c r="L51" s="10">
        <v>0</v>
      </c>
      <c r="M51" s="10">
        <v>0</v>
      </c>
      <c r="N51" s="10">
        <v>0</v>
      </c>
      <c r="O51" s="10">
        <v>0</v>
      </c>
      <c r="P51" s="10">
        <v>0.62378564055617536</v>
      </c>
      <c r="Q51" s="10">
        <v>8.8305995917358757E-2</v>
      </c>
      <c r="R51" s="10">
        <v>0.29535334997406287</v>
      </c>
      <c r="S51" s="10">
        <v>0</v>
      </c>
      <c r="T51" s="10">
        <v>0</v>
      </c>
      <c r="U51" s="10">
        <v>0</v>
      </c>
      <c r="V51" s="3">
        <f>SUM(INDEX(Kilomterage_matrix_weight_pop,ROW()-ROW(Ref_cell_km_weighted),0))</f>
        <v>1.0074449864475969</v>
      </c>
    </row>
    <row r="52" spans="6:22" x14ac:dyDescent="0.35">
      <c r="I52" s="7" t="str">
        <v>NLZEE</v>
      </c>
      <c r="J52" s="10">
        <v>0</v>
      </c>
      <c r="K52" s="10">
        <v>0</v>
      </c>
      <c r="L52" s="10">
        <v>0</v>
      </c>
      <c r="M52" s="10">
        <v>0</v>
      </c>
      <c r="N52" s="10">
        <v>0</v>
      </c>
      <c r="O52" s="10">
        <v>0</v>
      </c>
      <c r="P52" s="10">
        <v>0</v>
      </c>
      <c r="Q52" s="10">
        <v>0</v>
      </c>
      <c r="R52" s="10">
        <v>0</v>
      </c>
      <c r="S52" s="10">
        <v>1.0547604764761334</v>
      </c>
      <c r="T52" s="10">
        <v>0</v>
      </c>
      <c r="U52" s="10">
        <v>0</v>
      </c>
      <c r="V52" s="3">
        <f>SUM(INDEX(Kilomterage_matrix_weight_pop,ROW()-ROW(Ref_cell_km_weighted),0))</f>
        <v>1.0547604764761334</v>
      </c>
    </row>
    <row r="55" spans="6:22" x14ac:dyDescent="0.35">
      <c r="I55" s="7" t="s">
        <v>135</v>
      </c>
      <c r="J55" s="7" t="s">
        <v>81</v>
      </c>
      <c r="K55" s="7" t="s">
        <v>86</v>
      </c>
      <c r="L55" s="7" t="s">
        <v>83</v>
      </c>
      <c r="M55" s="7" t="s">
        <v>77</v>
      </c>
      <c r="N55" s="7" t="s">
        <v>79</v>
      </c>
      <c r="O55" s="7" t="s">
        <v>80</v>
      </c>
      <c r="P55" s="7" t="s">
        <v>92</v>
      </c>
      <c r="Q55" s="7" t="s">
        <v>84</v>
      </c>
      <c r="R55" s="7" t="s">
        <v>88</v>
      </c>
      <c r="S55" s="7" t="s">
        <v>94</v>
      </c>
      <c r="T55" s="7" t="s">
        <v>90</v>
      </c>
      <c r="U55" s="7" t="s">
        <v>75</v>
      </c>
      <c r="V55" s="7" t="s">
        <v>103</v>
      </c>
    </row>
    <row r="56" spans="6:22" x14ac:dyDescent="0.35">
      <c r="I56" s="7" t="str" cm="1">
        <f t="array" ref="I56:I64">IC</f>
        <v>NLCHE</v>
      </c>
      <c r="J56" s="10" cm="1">
        <f t="array" ref="J56:U64">Percentage_NUTS_IC*TRANSPOSE(Percent_one_dwelling_NL_provinces)</f>
        <v>0</v>
      </c>
      <c r="K56" s="10">
        <v>0</v>
      </c>
      <c r="L56" s="10">
        <v>0</v>
      </c>
      <c r="M56" s="10">
        <v>0</v>
      </c>
      <c r="N56" s="10">
        <v>0</v>
      </c>
      <c r="O56" s="10">
        <v>0</v>
      </c>
      <c r="P56" s="10">
        <v>0</v>
      </c>
      <c r="Q56" s="10">
        <v>0</v>
      </c>
      <c r="R56" s="10">
        <v>0</v>
      </c>
      <c r="S56" s="10">
        <v>0</v>
      </c>
      <c r="T56" s="10">
        <v>0</v>
      </c>
      <c r="U56" s="10">
        <v>0.74872807924066331</v>
      </c>
      <c r="V56" s="3">
        <f>SUM(INDEX(One_dwelling_matrix_NL,ROW()-ROW(One_dwelling_matrix_NL_ref_cell),0))</f>
        <v>0.74872807924066331</v>
      </c>
    </row>
    <row r="57" spans="6:22" x14ac:dyDescent="0.35">
      <c r="I57" s="7" t="str">
        <v>NLEAS</v>
      </c>
      <c r="J57" s="10">
        <v>0</v>
      </c>
      <c r="K57" s="10">
        <v>0</v>
      </c>
      <c r="L57" s="10">
        <v>0</v>
      </c>
      <c r="M57" s="10">
        <v>0.25812307233555465</v>
      </c>
      <c r="N57" s="10">
        <v>0.25410468483705395</v>
      </c>
      <c r="O57" s="10">
        <v>0.26572300860394116</v>
      </c>
      <c r="P57" s="10">
        <v>0</v>
      </c>
      <c r="Q57" s="10">
        <v>0</v>
      </c>
      <c r="R57" s="10">
        <v>0</v>
      </c>
      <c r="S57" s="10">
        <v>0</v>
      </c>
      <c r="T57" s="10">
        <v>0</v>
      </c>
      <c r="U57" s="10">
        <v>0</v>
      </c>
      <c r="V57" s="3">
        <f>SUM(INDEX(One_dwelling_matrix_NL,ROW()-ROW(One_dwelling_matrix_NL_ref_cell),0))</f>
        <v>0.77795076577654976</v>
      </c>
    </row>
    <row r="58" spans="6:22" x14ac:dyDescent="0.35">
      <c r="I58" s="7" t="str">
        <v>NLEEM</v>
      </c>
      <c r="J58" s="10">
        <v>0.38972270743360593</v>
      </c>
      <c r="K58" s="10">
        <v>0</v>
      </c>
      <c r="L58" s="10">
        <v>0.35516155303782443</v>
      </c>
      <c r="M58" s="10">
        <v>0</v>
      </c>
      <c r="N58" s="10">
        <v>0</v>
      </c>
      <c r="O58" s="10">
        <v>0</v>
      </c>
      <c r="P58" s="10">
        <v>0</v>
      </c>
      <c r="Q58" s="10">
        <v>0</v>
      </c>
      <c r="R58" s="10">
        <v>0</v>
      </c>
      <c r="S58" s="10">
        <v>0</v>
      </c>
      <c r="T58" s="10">
        <v>0</v>
      </c>
      <c r="U58" s="10">
        <v>0</v>
      </c>
      <c r="V58" s="3">
        <f>SUM(INDEX(One_dwelling_matrix_NL,ROW()-ROW(One_dwelling_matrix_NL_ref_cell),0))</f>
        <v>0.7448842604714303</v>
      </c>
    </row>
    <row r="59" spans="6:22" x14ac:dyDescent="0.35">
      <c r="I59" s="7" t="str">
        <v>NLNOO</v>
      </c>
      <c r="J59" s="10">
        <v>0</v>
      </c>
      <c r="K59" s="10">
        <v>0</v>
      </c>
      <c r="L59" s="10">
        <v>0</v>
      </c>
      <c r="M59" s="10">
        <v>0</v>
      </c>
      <c r="N59" s="10">
        <v>0</v>
      </c>
      <c r="O59" s="10">
        <v>0</v>
      </c>
      <c r="P59" s="10">
        <v>0</v>
      </c>
      <c r="Q59" s="10">
        <v>0.51239797609003723</v>
      </c>
      <c r="R59" s="10">
        <v>0</v>
      </c>
      <c r="S59" s="10">
        <v>0</v>
      </c>
      <c r="T59" s="10">
        <v>0</v>
      </c>
      <c r="U59" s="10">
        <v>0</v>
      </c>
      <c r="V59" s="3">
        <f>SUM(INDEX(One_dwelling_matrix_NL,ROW()-ROW(One_dwelling_matrix_NL_ref_cell),0))</f>
        <v>0.51239797609003723</v>
      </c>
    </row>
    <row r="60" spans="6:22" x14ac:dyDescent="0.35">
      <c r="I60" s="7" t="str">
        <v>NLNOR</v>
      </c>
      <c r="J60" s="10">
        <v>0</v>
      </c>
      <c r="K60" s="10">
        <v>0.55502833784025785</v>
      </c>
      <c r="L60" s="10">
        <v>0.15195903823247625</v>
      </c>
      <c r="M60" s="10">
        <v>0</v>
      </c>
      <c r="N60" s="10">
        <v>0</v>
      </c>
      <c r="O60" s="10">
        <v>0</v>
      </c>
      <c r="P60" s="10">
        <v>0</v>
      </c>
      <c r="Q60" s="10">
        <v>7.7262282586628817E-2</v>
      </c>
      <c r="R60" s="10">
        <v>0</v>
      </c>
      <c r="S60" s="10">
        <v>0</v>
      </c>
      <c r="T60" s="10">
        <v>0</v>
      </c>
      <c r="U60" s="10">
        <v>0</v>
      </c>
      <c r="V60" s="3">
        <f>SUM(INDEX(One_dwelling_matrix_NL,ROW()-ROW(One_dwelling_matrix_NL_ref_cell),0))</f>
        <v>0.78424965865936291</v>
      </c>
    </row>
    <row r="61" spans="6:22" x14ac:dyDescent="0.35">
      <c r="I61" s="7" t="str">
        <v>NLROT</v>
      </c>
      <c r="J61" s="10">
        <v>0</v>
      </c>
      <c r="K61" s="10">
        <v>0</v>
      </c>
      <c r="L61" s="10">
        <v>0</v>
      </c>
      <c r="M61" s="10">
        <v>0</v>
      </c>
      <c r="N61" s="10">
        <v>0</v>
      </c>
      <c r="O61" s="10">
        <v>0</v>
      </c>
      <c r="P61" s="10">
        <v>0</v>
      </c>
      <c r="Q61" s="10">
        <v>0</v>
      </c>
      <c r="R61" s="10">
        <v>0.31574039342152077</v>
      </c>
      <c r="S61" s="10">
        <v>0</v>
      </c>
      <c r="T61" s="10">
        <v>0.28431477510238895</v>
      </c>
      <c r="U61" s="10">
        <v>0</v>
      </c>
      <c r="V61" s="3">
        <f>SUM(INDEX(One_dwelling_matrix_NL,ROW()-ROW(One_dwelling_matrix_NL_ref_cell),0))</f>
        <v>0.60005516852390972</v>
      </c>
    </row>
    <row r="62" spans="6:22" x14ac:dyDescent="0.35">
      <c r="I62" s="7" t="str">
        <v>NLSOU</v>
      </c>
      <c r="J62" s="10">
        <v>0</v>
      </c>
      <c r="K62" s="10">
        <v>0</v>
      </c>
      <c r="L62" s="10">
        <v>0</v>
      </c>
      <c r="M62" s="10">
        <v>0</v>
      </c>
      <c r="N62" s="10">
        <v>0</v>
      </c>
      <c r="O62" s="10">
        <v>0</v>
      </c>
      <c r="P62" s="10">
        <v>0</v>
      </c>
      <c r="Q62" s="10">
        <v>0</v>
      </c>
      <c r="R62" s="10">
        <v>0</v>
      </c>
      <c r="S62" s="10">
        <v>0</v>
      </c>
      <c r="T62" s="10">
        <v>0.47073245884748793</v>
      </c>
      <c r="U62" s="10">
        <v>0.29022519104102307</v>
      </c>
      <c r="V62" s="3">
        <f>SUM(INDEX(One_dwelling_matrix_NL,ROW()-ROW(One_dwelling_matrix_NL_ref_cell),0))</f>
        <v>0.760957649888511</v>
      </c>
    </row>
    <row r="63" spans="6:22" x14ac:dyDescent="0.35">
      <c r="I63" s="7" t="str">
        <v>NLWES</v>
      </c>
      <c r="J63" s="10">
        <v>0</v>
      </c>
      <c r="K63" s="10">
        <v>0</v>
      </c>
      <c r="L63" s="10">
        <v>0</v>
      </c>
      <c r="M63" s="10">
        <v>0</v>
      </c>
      <c r="N63" s="10">
        <v>0</v>
      </c>
      <c r="O63" s="10">
        <v>0</v>
      </c>
      <c r="P63" s="10">
        <v>0.37116239482496916</v>
      </c>
      <c r="Q63" s="10">
        <v>5.0526003513828792E-2</v>
      </c>
      <c r="R63" s="10">
        <v>0.16322490252884075</v>
      </c>
      <c r="S63" s="10">
        <v>0</v>
      </c>
      <c r="T63" s="10">
        <v>0</v>
      </c>
      <c r="U63" s="10">
        <v>0</v>
      </c>
      <c r="V63" s="3">
        <f>SUM(INDEX(One_dwelling_matrix_NL,ROW()-ROW(One_dwelling_matrix_NL_ref_cell),0))</f>
        <v>0.58491330086763871</v>
      </c>
    </row>
    <row r="64" spans="6:22" x14ac:dyDescent="0.35">
      <c r="I64" s="7" t="str">
        <v>NLZEE</v>
      </c>
      <c r="J64" s="10">
        <v>0</v>
      </c>
      <c r="K64" s="10">
        <v>0</v>
      </c>
      <c r="L64" s="10">
        <v>0</v>
      </c>
      <c r="M64" s="10">
        <v>0</v>
      </c>
      <c r="N64" s="10">
        <v>0</v>
      </c>
      <c r="O64" s="10">
        <v>0</v>
      </c>
      <c r="P64" s="10">
        <v>0</v>
      </c>
      <c r="Q64" s="10">
        <v>0</v>
      </c>
      <c r="R64" s="10">
        <v>0</v>
      </c>
      <c r="S64" s="10">
        <v>0.82458231798180259</v>
      </c>
      <c r="T64" s="10">
        <v>0</v>
      </c>
      <c r="U64" s="10">
        <v>0</v>
      </c>
      <c r="V64" s="3">
        <f>SUM(INDEX(One_dwelling_matrix_NL,ROW()-ROW(One_dwelling_matrix_NL_ref_cell),0))</f>
        <v>0.82458231798180259</v>
      </c>
    </row>
    <row r="69" spans="9:13" x14ac:dyDescent="0.35">
      <c r="I69" s="7" t="s">
        <v>40</v>
      </c>
      <c r="J69" s="7" t="s">
        <v>39</v>
      </c>
      <c r="K69" s="7" t="s">
        <v>132</v>
      </c>
      <c r="L69" s="7" t="s">
        <v>133</v>
      </c>
      <c r="M69" s="7" t="s">
        <v>134</v>
      </c>
    </row>
    <row r="70" spans="9:13" x14ac:dyDescent="0.35">
      <c r="I70" s="7" t="s">
        <v>115</v>
      </c>
      <c r="J70" s="7"/>
      <c r="K70" s="30">
        <v>4904648</v>
      </c>
      <c r="L70" s="30">
        <v>3269658</v>
      </c>
      <c r="M70" s="18" cm="1">
        <f t="array" ref="M70:M81">One_dwelling_BE/Residential_BE</f>
        <v>0.66664478266330229</v>
      </c>
    </row>
    <row r="71" spans="9:13" x14ac:dyDescent="0.35">
      <c r="I71" s="7" t="s">
        <v>116</v>
      </c>
      <c r="J71" s="7" t="s">
        <v>61</v>
      </c>
      <c r="K71" s="29">
        <v>522388</v>
      </c>
      <c r="L71" s="29">
        <v>78836</v>
      </c>
      <c r="M71" s="18">
        <v>0.15091464581881667</v>
      </c>
    </row>
    <row r="72" spans="9:13" x14ac:dyDescent="0.35">
      <c r="I72" s="7" t="s">
        <v>117</v>
      </c>
      <c r="J72" s="7" t="s">
        <v>56</v>
      </c>
      <c r="K72" s="30">
        <v>787284</v>
      </c>
      <c r="L72" s="30">
        <v>483112</v>
      </c>
      <c r="M72" s="18">
        <v>0.6136438693025642</v>
      </c>
    </row>
    <row r="73" spans="9:13" x14ac:dyDescent="0.35">
      <c r="I73" s="7" t="s">
        <v>118</v>
      </c>
      <c r="J73" s="7" t="s">
        <v>58</v>
      </c>
      <c r="K73" s="29">
        <v>366768</v>
      </c>
      <c r="L73" s="29">
        <v>279322</v>
      </c>
      <c r="M73" s="18">
        <v>0.76157680059329058</v>
      </c>
    </row>
    <row r="74" spans="9:13" x14ac:dyDescent="0.35">
      <c r="I74" s="7" t="s">
        <v>119</v>
      </c>
      <c r="J74" s="7" t="s">
        <v>60</v>
      </c>
      <c r="K74" s="30">
        <v>654120</v>
      </c>
      <c r="L74" s="30">
        <v>500249</v>
      </c>
      <c r="M74" s="18">
        <v>0.76476640371797222</v>
      </c>
    </row>
    <row r="75" spans="9:13" x14ac:dyDescent="0.35">
      <c r="I75" s="7" t="s">
        <v>120</v>
      </c>
      <c r="J75" s="7" t="s">
        <v>63</v>
      </c>
      <c r="K75" s="29">
        <v>472466</v>
      </c>
      <c r="L75" s="29">
        <v>358195</v>
      </c>
      <c r="M75" s="18">
        <v>0.75813921001722873</v>
      </c>
    </row>
    <row r="76" spans="9:13" x14ac:dyDescent="0.35">
      <c r="I76" s="7" t="s">
        <v>121</v>
      </c>
      <c r="J76" s="7" t="s">
        <v>69</v>
      </c>
      <c r="K76" s="30">
        <v>532819</v>
      </c>
      <c r="L76" s="30">
        <v>400524</v>
      </c>
      <c r="M76" s="18">
        <v>0.75170742785073352</v>
      </c>
    </row>
    <row r="77" spans="9:13" x14ac:dyDescent="0.35">
      <c r="I77" s="7" t="s">
        <v>122</v>
      </c>
      <c r="J77" s="7" t="s">
        <v>64</v>
      </c>
      <c r="K77" s="29">
        <v>165646</v>
      </c>
      <c r="L77" s="29">
        <v>121170</v>
      </c>
      <c r="M77" s="18">
        <v>0.73149970418845012</v>
      </c>
    </row>
    <row r="78" spans="9:13" x14ac:dyDescent="0.35">
      <c r="I78" s="7" t="s">
        <v>123</v>
      </c>
      <c r="J78" s="7" t="s">
        <v>66</v>
      </c>
      <c r="K78" s="30">
        <v>584107</v>
      </c>
      <c r="L78" s="30">
        <v>466291</v>
      </c>
      <c r="M78" s="18">
        <v>0.7982972297883778</v>
      </c>
    </row>
    <row r="79" spans="9:13" x14ac:dyDescent="0.35">
      <c r="I79" s="7" t="s">
        <v>124</v>
      </c>
      <c r="J79" s="7" t="s">
        <v>72</v>
      </c>
      <c r="K79" s="29">
        <v>485849</v>
      </c>
      <c r="L79" s="29">
        <v>331066</v>
      </c>
      <c r="M79" s="18">
        <v>0.68141747744669645</v>
      </c>
    </row>
    <row r="80" spans="9:13" x14ac:dyDescent="0.35">
      <c r="I80" s="7" t="s">
        <v>125</v>
      </c>
      <c r="J80" s="7" t="s">
        <v>74</v>
      </c>
      <c r="K80" s="30">
        <v>121250</v>
      </c>
      <c r="L80" s="30">
        <v>93097</v>
      </c>
      <c r="M80" s="18">
        <v>0.76781030927835048</v>
      </c>
    </row>
    <row r="81" spans="9:21" x14ac:dyDescent="0.35">
      <c r="I81" s="7" t="s">
        <v>126</v>
      </c>
      <c r="J81" s="7" t="s">
        <v>67</v>
      </c>
      <c r="K81" s="29">
        <v>211951</v>
      </c>
      <c r="L81" s="29">
        <v>157796</v>
      </c>
      <c r="M81" s="18">
        <v>0.74449283089015861</v>
      </c>
    </row>
    <row r="84" spans="9:21" x14ac:dyDescent="0.35">
      <c r="I84" s="7" t="s">
        <v>135</v>
      </c>
      <c r="J84" s="7" t="s">
        <v>61</v>
      </c>
      <c r="K84" s="7" t="s">
        <v>56</v>
      </c>
      <c r="L84" s="7" t="s">
        <v>58</v>
      </c>
      <c r="M84" s="7" t="s">
        <v>60</v>
      </c>
      <c r="N84" s="7" t="s">
        <v>63</v>
      </c>
      <c r="O84" s="7" t="s">
        <v>69</v>
      </c>
      <c r="P84" s="7" t="s">
        <v>64</v>
      </c>
      <c r="Q84" s="7" t="s">
        <v>66</v>
      </c>
      <c r="R84" s="7" t="s">
        <v>72</v>
      </c>
      <c r="S84" s="7" t="s">
        <v>74</v>
      </c>
      <c r="T84" s="7" t="s">
        <v>67</v>
      </c>
      <c r="U84" s="7" t="s">
        <v>103</v>
      </c>
    </row>
    <row r="85" spans="9:21" x14ac:dyDescent="0.35">
      <c r="I85" s="7" t="s">
        <v>57</v>
      </c>
      <c r="J85" s="18" cm="1">
        <f t="array" ref="J85:T92">Percentage_NUTS_IC_BE*TRANSPOSE(Percent_one_dwelling_BE_provinces)</f>
        <v>0</v>
      </c>
      <c r="K85" s="18">
        <v>0.12040066594064459</v>
      </c>
      <c r="L85" s="18">
        <v>0.61215079221388202</v>
      </c>
      <c r="M85" s="18">
        <v>0</v>
      </c>
      <c r="N85" s="18">
        <v>0</v>
      </c>
      <c r="O85" s="18">
        <v>0</v>
      </c>
      <c r="P85" s="18">
        <v>0</v>
      </c>
      <c r="Q85" s="18">
        <v>0</v>
      </c>
      <c r="R85" s="18">
        <v>0</v>
      </c>
      <c r="S85" s="18">
        <v>0</v>
      </c>
      <c r="T85" s="18">
        <v>0</v>
      </c>
      <c r="U85" s="3">
        <f>SUM(INDEX(One_dwelling_matrix_BE,ROW()-ROW(One_dwelling_matrix_BE_ref_cell),0))</f>
        <v>0.7325514581545266</v>
      </c>
    </row>
    <row r="86" spans="9:21" x14ac:dyDescent="0.35">
      <c r="I86" s="7" t="s">
        <v>59</v>
      </c>
      <c r="J86" s="18">
        <v>0</v>
      </c>
      <c r="K86" s="18">
        <v>0.47139268862788075</v>
      </c>
      <c r="L86" s="18">
        <v>0</v>
      </c>
      <c r="M86" s="18">
        <v>0.17728348527763668</v>
      </c>
      <c r="N86" s="18">
        <v>0</v>
      </c>
      <c r="O86" s="18">
        <v>0</v>
      </c>
      <c r="P86" s="18">
        <v>0</v>
      </c>
      <c r="Q86" s="18">
        <v>0</v>
      </c>
      <c r="R86" s="18">
        <v>0</v>
      </c>
      <c r="S86" s="18">
        <v>0</v>
      </c>
      <c r="T86" s="18">
        <v>0</v>
      </c>
      <c r="U86" s="3">
        <f>SUM(INDEX(One_dwelling_matrix_BE,ROW()-ROW(One_dwelling_matrix_BE_ref_cell),0))</f>
        <v>0.64867617390551746</v>
      </c>
    </row>
    <row r="87" spans="9:21" x14ac:dyDescent="0.35">
      <c r="I87" s="7" t="s">
        <v>62</v>
      </c>
      <c r="J87" s="18">
        <v>6.0156513659989898E-2</v>
      </c>
      <c r="K87" s="18">
        <v>4.5154326253937629E-2</v>
      </c>
      <c r="L87" s="18">
        <v>0</v>
      </c>
      <c r="M87" s="18">
        <v>9.8800490869771107E-2</v>
      </c>
      <c r="N87" s="18">
        <v>0.30220401403803909</v>
      </c>
      <c r="O87" s="18">
        <v>0</v>
      </c>
      <c r="P87" s="18">
        <v>0</v>
      </c>
      <c r="Q87" s="18">
        <v>0</v>
      </c>
      <c r="R87" s="18">
        <v>0</v>
      </c>
      <c r="S87" s="18">
        <v>0</v>
      </c>
      <c r="T87" s="18">
        <v>0</v>
      </c>
      <c r="U87" s="3">
        <f>SUM(INDEX(One_dwelling_matrix_BE,ROW()-ROW(One_dwelling_matrix_BE_ref_cell),0))</f>
        <v>0.50631534482173768</v>
      </c>
    </row>
    <row r="88" spans="9:21" x14ac:dyDescent="0.35">
      <c r="I88" s="7" t="s">
        <v>65</v>
      </c>
      <c r="J88" s="18">
        <v>0</v>
      </c>
      <c r="K88" s="18">
        <v>0</v>
      </c>
      <c r="L88" s="18">
        <v>0</v>
      </c>
      <c r="M88" s="18">
        <v>0</v>
      </c>
      <c r="N88" s="18">
        <v>0</v>
      </c>
      <c r="O88" s="18">
        <v>0</v>
      </c>
      <c r="P88" s="18">
        <v>0.28959962951361895</v>
      </c>
      <c r="Q88" s="18">
        <v>0.16620789150231913</v>
      </c>
      <c r="R88" s="18">
        <v>0</v>
      </c>
      <c r="S88" s="18">
        <v>0</v>
      </c>
      <c r="T88" s="18">
        <v>0.29474358877634055</v>
      </c>
      <c r="U88" s="3">
        <f>SUM(INDEX(One_dwelling_matrix_BE,ROW()-ROW(One_dwelling_matrix_BE_ref_cell),0))</f>
        <v>0.75055110979227857</v>
      </c>
    </row>
    <row r="89" spans="9:21" x14ac:dyDescent="0.35">
      <c r="I89" s="7" t="s">
        <v>68</v>
      </c>
      <c r="J89" s="18">
        <v>0</v>
      </c>
      <c r="K89" s="18">
        <v>0</v>
      </c>
      <c r="L89" s="18">
        <v>0</v>
      </c>
      <c r="M89" s="18">
        <v>5.6846007792791968E-2</v>
      </c>
      <c r="N89" s="18">
        <v>0</v>
      </c>
      <c r="O89" s="18">
        <v>0.69583210946101415</v>
      </c>
      <c r="P89" s="18">
        <v>0</v>
      </c>
      <c r="Q89" s="18">
        <v>0</v>
      </c>
      <c r="R89" s="18">
        <v>0</v>
      </c>
      <c r="S89" s="18">
        <v>0</v>
      </c>
      <c r="T89" s="18">
        <v>0</v>
      </c>
      <c r="U89" s="3">
        <f>SUM(INDEX(One_dwelling_matrix_BE,ROW()-ROW(One_dwelling_matrix_BE_ref_cell),0))</f>
        <v>0.75267811725380607</v>
      </c>
    </row>
    <row r="90" spans="9:21" x14ac:dyDescent="0.35">
      <c r="I90" s="7" t="s">
        <v>70</v>
      </c>
      <c r="J90" s="18">
        <v>0</v>
      </c>
      <c r="K90" s="18">
        <v>0</v>
      </c>
      <c r="L90" s="18">
        <v>0</v>
      </c>
      <c r="M90" s="18">
        <v>0.76476640371797222</v>
      </c>
      <c r="N90" s="18">
        <v>0</v>
      </c>
      <c r="O90" s="18">
        <v>0</v>
      </c>
      <c r="P90" s="18">
        <v>0</v>
      </c>
      <c r="Q90" s="18">
        <v>0</v>
      </c>
      <c r="R90" s="18">
        <v>0</v>
      </c>
      <c r="S90" s="18">
        <v>0</v>
      </c>
      <c r="T90" s="18">
        <v>0</v>
      </c>
      <c r="U90" s="3">
        <f>SUM(INDEX(One_dwelling_matrix_BE,ROW()-ROW(One_dwelling_matrix_BE_ref_cell),0))</f>
        <v>0.76476640371797222</v>
      </c>
    </row>
    <row r="91" spans="9:21" x14ac:dyDescent="0.35">
      <c r="I91" s="7" t="s">
        <v>71</v>
      </c>
      <c r="J91" s="18">
        <v>0</v>
      </c>
      <c r="K91" s="18">
        <v>0</v>
      </c>
      <c r="L91" s="18">
        <v>0</v>
      </c>
      <c r="M91" s="18">
        <v>0</v>
      </c>
      <c r="N91" s="18">
        <v>0</v>
      </c>
      <c r="O91" s="18">
        <v>0</v>
      </c>
      <c r="P91" s="18">
        <v>0</v>
      </c>
      <c r="Q91" s="18">
        <v>0.7982972297883778</v>
      </c>
      <c r="R91" s="18">
        <v>0</v>
      </c>
      <c r="S91" s="18">
        <v>0</v>
      </c>
      <c r="T91" s="18">
        <v>0</v>
      </c>
      <c r="U91" s="3">
        <f>SUM(INDEX(One_dwelling_matrix_BE,ROW()-ROW(One_dwelling_matrix_BE_ref_cell),0))</f>
        <v>0.7982972297883778</v>
      </c>
    </row>
    <row r="92" spans="9:21" x14ac:dyDescent="0.35">
      <c r="I92" s="7" t="s">
        <v>73</v>
      </c>
      <c r="J92" s="18">
        <v>0</v>
      </c>
      <c r="K92" s="18">
        <v>0</v>
      </c>
      <c r="L92" s="18">
        <v>0</v>
      </c>
      <c r="M92" s="18">
        <v>0</v>
      </c>
      <c r="N92" s="18">
        <v>0</v>
      </c>
      <c r="O92" s="18">
        <v>0</v>
      </c>
      <c r="P92" s="18">
        <v>0</v>
      </c>
      <c r="Q92" s="18">
        <v>0</v>
      </c>
      <c r="R92" s="18">
        <v>0.34070873872334823</v>
      </c>
      <c r="S92" s="18">
        <v>0.38390515463917524</v>
      </c>
      <c r="T92" s="18">
        <v>0</v>
      </c>
      <c r="U92" s="3">
        <f>SUM(INDEX(One_dwelling_matrix_BE,ROW()-ROW(One_dwelling_matrix_BE_ref_cell),0))</f>
        <v>0.72461389336252346</v>
      </c>
    </row>
  </sheetData>
  <mergeCells count="3">
    <mergeCell ref="D6:P8"/>
    <mergeCell ref="H26:H38"/>
    <mergeCell ref="H42:H49"/>
  </mergeCells>
  <hyperlinks>
    <hyperlink ref="H26" r:id="rId1" location="/CBS/nl/dataset/84709NED/table?ts=1772201259875" display="https://opendata.cbs.nl/ - /CBS/nl/dataset/84709NED/table?ts=1772201259875" xr:uid="{67C8EF26-80B7-4231-8FAC-299292E1410F}"/>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D7522-AB32-43A7-B2E7-9D5E517AE186}">
  <sheetPr>
    <tabColor theme="7" tint="0.39997558519241921"/>
  </sheetPr>
  <dimension ref="E4:S44"/>
  <sheetViews>
    <sheetView workbookViewId="0">
      <selection activeCell="N20" sqref="N20:N31"/>
    </sheetView>
  </sheetViews>
  <sheetFormatPr defaultColWidth="9.1796875" defaultRowHeight="14.5" x14ac:dyDescent="0.35"/>
  <cols>
    <col min="1" max="8" width="9.1796875" style="4"/>
    <col min="9" max="9" width="50.7265625" style="4" bestFit="1" customWidth="1"/>
    <col min="10" max="16384" width="9.1796875" style="4"/>
  </cols>
  <sheetData>
    <row r="4" spans="5:8" x14ac:dyDescent="0.35">
      <c r="E4" s="15" t="s">
        <v>28</v>
      </c>
      <c r="F4" s="15"/>
      <c r="G4" s="15"/>
      <c r="H4" s="15"/>
    </row>
    <row r="18" spans="9:19" x14ac:dyDescent="0.35">
      <c r="I18" s="25" t="s">
        <v>108</v>
      </c>
      <c r="J18" s="31" t="s">
        <v>103</v>
      </c>
      <c r="K18" s="31" t="s">
        <v>109</v>
      </c>
      <c r="L18" s="31" t="s">
        <v>110</v>
      </c>
      <c r="M18" s="31" t="s">
        <v>109</v>
      </c>
      <c r="N18" s="31" t="s">
        <v>111</v>
      </c>
      <c r="O18" s="31" t="s">
        <v>109</v>
      </c>
      <c r="P18" s="31" t="s">
        <v>112</v>
      </c>
      <c r="Q18" s="31" t="s">
        <v>109</v>
      </c>
      <c r="R18" s="31" t="s">
        <v>113</v>
      </c>
      <c r="S18" s="31" t="s">
        <v>109</v>
      </c>
    </row>
    <row r="19" spans="9:19" x14ac:dyDescent="0.35">
      <c r="I19" s="26" t="s">
        <v>114</v>
      </c>
      <c r="J19" s="28" t="s">
        <v>109</v>
      </c>
      <c r="K19" s="28" t="s">
        <v>109</v>
      </c>
      <c r="L19" s="28" t="s">
        <v>109</v>
      </c>
      <c r="M19" s="28" t="s">
        <v>109</v>
      </c>
      <c r="N19" s="28" t="s">
        <v>109</v>
      </c>
      <c r="O19" s="28" t="s">
        <v>109</v>
      </c>
      <c r="P19" s="28" t="s">
        <v>109</v>
      </c>
      <c r="Q19" s="28" t="s">
        <v>109</v>
      </c>
      <c r="R19" s="28" t="s">
        <v>109</v>
      </c>
      <c r="S19" s="28" t="s">
        <v>109</v>
      </c>
    </row>
    <row r="20" spans="9:19" x14ac:dyDescent="0.35">
      <c r="I20" s="27" t="s">
        <v>115</v>
      </c>
      <c r="J20" s="30">
        <v>4949991</v>
      </c>
      <c r="K20" s="30" t="s">
        <v>109</v>
      </c>
      <c r="L20" s="30">
        <v>4904648</v>
      </c>
      <c r="M20" s="30" t="s">
        <v>109</v>
      </c>
      <c r="N20" s="30">
        <v>3269658</v>
      </c>
      <c r="O20" s="30" t="s">
        <v>109</v>
      </c>
      <c r="P20" s="30">
        <v>222846</v>
      </c>
      <c r="Q20" s="30" t="s">
        <v>109</v>
      </c>
      <c r="R20" s="30">
        <v>1412144</v>
      </c>
      <c r="S20" s="30" t="s">
        <v>109</v>
      </c>
    </row>
    <row r="21" spans="9:19" x14ac:dyDescent="0.35">
      <c r="I21" s="27" t="s">
        <v>116</v>
      </c>
      <c r="J21" s="29">
        <v>528331</v>
      </c>
      <c r="K21" s="29" t="s">
        <v>109</v>
      </c>
      <c r="L21" s="29">
        <v>522388</v>
      </c>
      <c r="M21" s="29" t="s">
        <v>109</v>
      </c>
      <c r="N21" s="29">
        <v>78836</v>
      </c>
      <c r="O21" s="29" t="s">
        <v>109</v>
      </c>
      <c r="P21" s="29">
        <v>31108</v>
      </c>
      <c r="Q21" s="29" t="s">
        <v>109</v>
      </c>
      <c r="R21" s="29">
        <v>412444</v>
      </c>
      <c r="S21" s="29" t="s">
        <v>109</v>
      </c>
    </row>
    <row r="22" spans="9:19" x14ac:dyDescent="0.35">
      <c r="I22" s="27" t="s">
        <v>117</v>
      </c>
      <c r="J22" s="30">
        <v>795195</v>
      </c>
      <c r="K22" s="30" t="s">
        <v>109</v>
      </c>
      <c r="L22" s="30">
        <v>787284</v>
      </c>
      <c r="M22" s="30" t="s">
        <v>109</v>
      </c>
      <c r="N22" s="30">
        <v>483112</v>
      </c>
      <c r="O22" s="30" t="s">
        <v>109</v>
      </c>
      <c r="P22" s="30">
        <v>33469</v>
      </c>
      <c r="Q22" s="30" t="s">
        <v>109</v>
      </c>
      <c r="R22" s="30">
        <v>270703</v>
      </c>
      <c r="S22" s="30" t="s">
        <v>109</v>
      </c>
    </row>
    <row r="23" spans="9:19" x14ac:dyDescent="0.35">
      <c r="I23" s="27" t="s">
        <v>118</v>
      </c>
      <c r="J23" s="29">
        <v>370386</v>
      </c>
      <c r="K23" s="29" t="s">
        <v>109</v>
      </c>
      <c r="L23" s="29">
        <v>366768</v>
      </c>
      <c r="M23" s="29" t="s">
        <v>109</v>
      </c>
      <c r="N23" s="29">
        <v>279322</v>
      </c>
      <c r="O23" s="29" t="s">
        <v>109</v>
      </c>
      <c r="P23" s="29">
        <v>15081</v>
      </c>
      <c r="Q23" s="29" t="s">
        <v>109</v>
      </c>
      <c r="R23" s="29">
        <v>72365</v>
      </c>
      <c r="S23" s="29" t="s">
        <v>109</v>
      </c>
    </row>
    <row r="24" spans="9:19" x14ac:dyDescent="0.35">
      <c r="I24" s="27" t="s">
        <v>119</v>
      </c>
      <c r="J24" s="30">
        <v>659164</v>
      </c>
      <c r="K24" s="30" t="s">
        <v>109</v>
      </c>
      <c r="L24" s="30">
        <v>654120</v>
      </c>
      <c r="M24" s="30" t="s">
        <v>109</v>
      </c>
      <c r="N24" s="30">
        <v>500249</v>
      </c>
      <c r="O24" s="30" t="s">
        <v>109</v>
      </c>
      <c r="P24" s="30">
        <v>18087</v>
      </c>
      <c r="Q24" s="30" t="s">
        <v>109</v>
      </c>
      <c r="R24" s="30">
        <v>135784</v>
      </c>
      <c r="S24" s="30" t="s">
        <v>109</v>
      </c>
    </row>
    <row r="25" spans="9:19" x14ac:dyDescent="0.35">
      <c r="I25" s="27" t="s">
        <v>120</v>
      </c>
      <c r="J25" s="29">
        <v>477507</v>
      </c>
      <c r="K25" s="29" t="s">
        <v>109</v>
      </c>
      <c r="L25" s="29">
        <v>472466</v>
      </c>
      <c r="M25" s="29" t="s">
        <v>109</v>
      </c>
      <c r="N25" s="29">
        <v>358195</v>
      </c>
      <c r="O25" s="29" t="s">
        <v>109</v>
      </c>
      <c r="P25" s="29">
        <v>18670</v>
      </c>
      <c r="Q25" s="29" t="s">
        <v>109</v>
      </c>
      <c r="R25" s="29">
        <v>95601</v>
      </c>
      <c r="S25" s="29" t="s">
        <v>109</v>
      </c>
    </row>
    <row r="26" spans="9:19" x14ac:dyDescent="0.35">
      <c r="I26" s="27" t="s">
        <v>121</v>
      </c>
      <c r="J26" s="30">
        <v>537789</v>
      </c>
      <c r="K26" s="30" t="s">
        <v>109</v>
      </c>
      <c r="L26" s="30">
        <v>532819</v>
      </c>
      <c r="M26" s="30" t="s">
        <v>109</v>
      </c>
      <c r="N26" s="30">
        <v>400524</v>
      </c>
      <c r="O26" s="30" t="s">
        <v>109</v>
      </c>
      <c r="P26" s="30">
        <v>12105</v>
      </c>
      <c r="Q26" s="30" t="s">
        <v>109</v>
      </c>
      <c r="R26" s="30">
        <v>120190</v>
      </c>
      <c r="S26" s="30" t="s">
        <v>109</v>
      </c>
    </row>
    <row r="27" spans="9:19" x14ac:dyDescent="0.35">
      <c r="I27" s="27" t="s">
        <v>122</v>
      </c>
      <c r="J27" s="29">
        <v>166928</v>
      </c>
      <c r="K27" s="29" t="s">
        <v>109</v>
      </c>
      <c r="L27" s="29">
        <v>165646</v>
      </c>
      <c r="M27" s="29" t="s">
        <v>109</v>
      </c>
      <c r="N27" s="29">
        <v>121170</v>
      </c>
      <c r="O27" s="29" t="s">
        <v>109</v>
      </c>
      <c r="P27" s="29">
        <v>9340</v>
      </c>
      <c r="Q27" s="29" t="s">
        <v>109</v>
      </c>
      <c r="R27" s="29">
        <v>35136</v>
      </c>
      <c r="S27" s="29" t="s">
        <v>109</v>
      </c>
    </row>
    <row r="28" spans="9:19" x14ac:dyDescent="0.35">
      <c r="I28" s="27" t="s">
        <v>123</v>
      </c>
      <c r="J28" s="30">
        <v>587973</v>
      </c>
      <c r="K28" s="30" t="s">
        <v>109</v>
      </c>
      <c r="L28" s="30">
        <v>584107</v>
      </c>
      <c r="M28" s="30" t="s">
        <v>109</v>
      </c>
      <c r="N28" s="30">
        <v>466291</v>
      </c>
      <c r="O28" s="30" t="s">
        <v>109</v>
      </c>
      <c r="P28" s="30">
        <v>26732</v>
      </c>
      <c r="Q28" s="30" t="s">
        <v>109</v>
      </c>
      <c r="R28" s="30">
        <v>91084</v>
      </c>
      <c r="S28" s="30" t="s">
        <v>109</v>
      </c>
    </row>
    <row r="29" spans="9:19" x14ac:dyDescent="0.35">
      <c r="I29" s="27" t="s">
        <v>124</v>
      </c>
      <c r="J29" s="29">
        <v>489712</v>
      </c>
      <c r="K29" s="29" t="s">
        <v>109</v>
      </c>
      <c r="L29" s="29">
        <v>485849</v>
      </c>
      <c r="M29" s="29" t="s">
        <v>109</v>
      </c>
      <c r="N29" s="29">
        <v>331066</v>
      </c>
      <c r="O29" s="29" t="s">
        <v>109</v>
      </c>
      <c r="P29" s="29">
        <v>36161</v>
      </c>
      <c r="Q29" s="29" t="s">
        <v>109</v>
      </c>
      <c r="R29" s="29">
        <v>118622</v>
      </c>
      <c r="S29" s="29" t="s">
        <v>109</v>
      </c>
    </row>
    <row r="30" spans="9:19" x14ac:dyDescent="0.35">
      <c r="I30" s="27" t="s">
        <v>125</v>
      </c>
      <c r="J30" s="30">
        <v>122614</v>
      </c>
      <c r="K30" s="30" t="s">
        <v>109</v>
      </c>
      <c r="L30" s="30">
        <v>121250</v>
      </c>
      <c r="M30" s="30" t="s">
        <v>109</v>
      </c>
      <c r="N30" s="30">
        <v>93097</v>
      </c>
      <c r="O30" s="30" t="s">
        <v>109</v>
      </c>
      <c r="P30" s="30">
        <v>8399</v>
      </c>
      <c r="Q30" s="30" t="s">
        <v>109</v>
      </c>
      <c r="R30" s="30">
        <v>19754</v>
      </c>
      <c r="S30" s="30" t="s">
        <v>109</v>
      </c>
    </row>
    <row r="31" spans="9:19" x14ac:dyDescent="0.35">
      <c r="I31" s="27" t="s">
        <v>126</v>
      </c>
      <c r="J31" s="29">
        <v>214392</v>
      </c>
      <c r="K31" s="29" t="s">
        <v>109</v>
      </c>
      <c r="L31" s="29">
        <v>211951</v>
      </c>
      <c r="M31" s="29" t="s">
        <v>109</v>
      </c>
      <c r="N31" s="29">
        <v>157796</v>
      </c>
      <c r="O31" s="29" t="s">
        <v>109</v>
      </c>
      <c r="P31" s="29">
        <v>13694</v>
      </c>
      <c r="Q31" s="29" t="s">
        <v>109</v>
      </c>
      <c r="R31" s="29">
        <v>40461</v>
      </c>
      <c r="S31" s="29" t="s">
        <v>109</v>
      </c>
    </row>
    <row r="32" spans="9:19" x14ac:dyDescent="0.35">
      <c r="I32" s="27" t="s">
        <v>127</v>
      </c>
      <c r="J32" s="30">
        <v>7509787</v>
      </c>
      <c r="K32" s="30" t="s">
        <v>109</v>
      </c>
      <c r="L32" s="30">
        <v>7503818</v>
      </c>
      <c r="M32" s="30" t="s">
        <v>109</v>
      </c>
      <c r="N32" s="30">
        <v>4950815</v>
      </c>
      <c r="O32" s="30" t="s">
        <v>109</v>
      </c>
      <c r="P32" s="30">
        <v>240140</v>
      </c>
      <c r="Q32" s="30" t="s">
        <v>109</v>
      </c>
      <c r="R32" s="30">
        <v>2312863</v>
      </c>
      <c r="S32" s="30" t="s">
        <v>109</v>
      </c>
    </row>
    <row r="33" spans="9:19" x14ac:dyDescent="0.35">
      <c r="I33" s="27" t="s">
        <v>30</v>
      </c>
      <c r="J33" s="29">
        <v>267065</v>
      </c>
      <c r="K33" s="29" t="s">
        <v>109</v>
      </c>
      <c r="L33" s="29">
        <v>266892</v>
      </c>
      <c r="M33" s="29" t="s">
        <v>109</v>
      </c>
      <c r="N33" s="29">
        <v>179944</v>
      </c>
      <c r="O33" s="29" t="s">
        <v>109</v>
      </c>
      <c r="P33" s="29">
        <v>11185</v>
      </c>
      <c r="Q33" s="29" t="s">
        <v>109</v>
      </c>
      <c r="R33" s="29">
        <v>75763</v>
      </c>
      <c r="S33" s="29" t="s">
        <v>109</v>
      </c>
    </row>
    <row r="34" spans="9:19" x14ac:dyDescent="0.35">
      <c r="I34" s="27" t="s">
        <v>128</v>
      </c>
      <c r="J34" s="30">
        <v>285329</v>
      </c>
      <c r="K34" s="30" t="s">
        <v>109</v>
      </c>
      <c r="L34" s="30">
        <v>284987</v>
      </c>
      <c r="M34" s="30" t="s">
        <v>109</v>
      </c>
      <c r="N34" s="30">
        <v>236552</v>
      </c>
      <c r="O34" s="30" t="s">
        <v>109</v>
      </c>
      <c r="P34" s="30">
        <v>6205</v>
      </c>
      <c r="Q34" s="30" t="s">
        <v>109</v>
      </c>
      <c r="R34" s="30">
        <v>42230</v>
      </c>
      <c r="S34" s="30" t="s">
        <v>109</v>
      </c>
    </row>
    <row r="35" spans="9:19" x14ac:dyDescent="0.35">
      <c r="I35" s="27" t="s">
        <v>31</v>
      </c>
      <c r="J35" s="29">
        <v>211862</v>
      </c>
      <c r="K35" s="29" t="s">
        <v>109</v>
      </c>
      <c r="L35" s="29">
        <v>211634</v>
      </c>
      <c r="M35" s="29" t="s">
        <v>109</v>
      </c>
      <c r="N35" s="29">
        <v>178129</v>
      </c>
      <c r="O35" s="29" t="s">
        <v>109</v>
      </c>
      <c r="P35" s="29">
        <v>3041</v>
      </c>
      <c r="Q35" s="29" t="s">
        <v>109</v>
      </c>
      <c r="R35" s="29">
        <v>30464</v>
      </c>
      <c r="S35" s="29" t="s">
        <v>109</v>
      </c>
    </row>
    <row r="36" spans="9:19" x14ac:dyDescent="0.35">
      <c r="I36" s="27" t="s">
        <v>32</v>
      </c>
      <c r="J36" s="30">
        <v>485591</v>
      </c>
      <c r="K36" s="30" t="s">
        <v>109</v>
      </c>
      <c r="L36" s="30">
        <v>485151</v>
      </c>
      <c r="M36" s="30" t="s">
        <v>109</v>
      </c>
      <c r="N36" s="30">
        <v>375686</v>
      </c>
      <c r="O36" s="30" t="s">
        <v>109</v>
      </c>
      <c r="P36" s="30">
        <v>15433</v>
      </c>
      <c r="Q36" s="30" t="s">
        <v>109</v>
      </c>
      <c r="R36" s="30">
        <v>94032</v>
      </c>
      <c r="S36" s="30" t="s">
        <v>109</v>
      </c>
    </row>
    <row r="37" spans="9:19" x14ac:dyDescent="0.35">
      <c r="I37" s="27" t="s">
        <v>34</v>
      </c>
      <c r="J37" s="29">
        <v>873614</v>
      </c>
      <c r="K37" s="29" t="s">
        <v>109</v>
      </c>
      <c r="L37" s="29">
        <v>872702</v>
      </c>
      <c r="M37" s="29" t="s">
        <v>109</v>
      </c>
      <c r="N37" s="29">
        <v>665273</v>
      </c>
      <c r="O37" s="29" t="s">
        <v>109</v>
      </c>
      <c r="P37" s="29">
        <v>30841</v>
      </c>
      <c r="Q37" s="29" t="s">
        <v>109</v>
      </c>
      <c r="R37" s="29">
        <v>176588</v>
      </c>
      <c r="S37" s="29" t="s">
        <v>109</v>
      </c>
    </row>
    <row r="38" spans="9:19" x14ac:dyDescent="0.35">
      <c r="I38" s="27" t="s">
        <v>33</v>
      </c>
      <c r="J38" s="30">
        <v>168226</v>
      </c>
      <c r="K38" s="30" t="s">
        <v>109</v>
      </c>
      <c r="L38" s="30">
        <v>168140</v>
      </c>
      <c r="M38" s="30" t="s">
        <v>109</v>
      </c>
      <c r="N38" s="30">
        <v>134036</v>
      </c>
      <c r="O38" s="30" t="s">
        <v>109</v>
      </c>
      <c r="P38" s="30">
        <v>2558</v>
      </c>
      <c r="Q38" s="30" t="s">
        <v>109</v>
      </c>
      <c r="R38" s="30">
        <v>31546</v>
      </c>
      <c r="S38" s="30" t="s">
        <v>109</v>
      </c>
    </row>
    <row r="39" spans="9:19" x14ac:dyDescent="0.35">
      <c r="I39" s="27" t="s">
        <v>129</v>
      </c>
      <c r="J39" s="29">
        <v>562755</v>
      </c>
      <c r="K39" s="29" t="s">
        <v>109</v>
      </c>
      <c r="L39" s="29">
        <v>562330</v>
      </c>
      <c r="M39" s="29" t="s">
        <v>109</v>
      </c>
      <c r="N39" s="29">
        <v>362581</v>
      </c>
      <c r="O39" s="29" t="s">
        <v>109</v>
      </c>
      <c r="P39" s="29">
        <v>22422</v>
      </c>
      <c r="Q39" s="29" t="s">
        <v>109</v>
      </c>
      <c r="R39" s="29">
        <v>177327</v>
      </c>
      <c r="S39" s="29" t="s">
        <v>109</v>
      </c>
    </row>
    <row r="40" spans="9:19" x14ac:dyDescent="0.35">
      <c r="I40" s="27" t="s">
        <v>35</v>
      </c>
      <c r="J40" s="30">
        <v>1277514</v>
      </c>
      <c r="K40" s="30" t="s">
        <v>109</v>
      </c>
      <c r="L40" s="30">
        <v>1276539</v>
      </c>
      <c r="M40" s="30" t="s">
        <v>109</v>
      </c>
      <c r="N40" s="30">
        <v>654096</v>
      </c>
      <c r="O40" s="30" t="s">
        <v>109</v>
      </c>
      <c r="P40" s="30">
        <v>44151</v>
      </c>
      <c r="Q40" s="30" t="s">
        <v>109</v>
      </c>
      <c r="R40" s="30">
        <v>578292</v>
      </c>
      <c r="S40" s="30" t="s">
        <v>109</v>
      </c>
    </row>
    <row r="41" spans="9:19" x14ac:dyDescent="0.35">
      <c r="I41" s="27" t="s">
        <v>130</v>
      </c>
      <c r="J41" s="29">
        <v>1606472</v>
      </c>
      <c r="K41" s="29" t="s">
        <v>109</v>
      </c>
      <c r="L41" s="29">
        <v>1605551</v>
      </c>
      <c r="M41" s="29" t="s">
        <v>109</v>
      </c>
      <c r="N41" s="29">
        <v>804490</v>
      </c>
      <c r="O41" s="29" t="s">
        <v>109</v>
      </c>
      <c r="P41" s="29">
        <v>63792</v>
      </c>
      <c r="Q41" s="29" t="s">
        <v>109</v>
      </c>
      <c r="R41" s="29">
        <v>737269</v>
      </c>
      <c r="S41" s="29" t="s">
        <v>109</v>
      </c>
    </row>
    <row r="42" spans="9:19" x14ac:dyDescent="0.35">
      <c r="I42" s="27" t="s">
        <v>36</v>
      </c>
      <c r="J42" s="30">
        <v>171232</v>
      </c>
      <c r="K42" s="30" t="s">
        <v>109</v>
      </c>
      <c r="L42" s="30">
        <v>171123</v>
      </c>
      <c r="M42" s="30" t="s">
        <v>109</v>
      </c>
      <c r="N42" s="30">
        <v>141105</v>
      </c>
      <c r="O42" s="30" t="s">
        <v>109</v>
      </c>
      <c r="P42" s="30">
        <v>4377</v>
      </c>
      <c r="Q42" s="30" t="s">
        <v>109</v>
      </c>
      <c r="R42" s="30">
        <v>25641</v>
      </c>
      <c r="S42" s="30" t="s">
        <v>109</v>
      </c>
    </row>
    <row r="43" spans="9:19" x14ac:dyDescent="0.35">
      <c r="I43" s="27" t="s">
        <v>37</v>
      </c>
      <c r="J43" s="29">
        <v>1096561</v>
      </c>
      <c r="K43" s="29" t="s">
        <v>109</v>
      </c>
      <c r="L43" s="29">
        <v>1095593</v>
      </c>
      <c r="M43" s="29" t="s">
        <v>109</v>
      </c>
      <c r="N43" s="29">
        <v>842181</v>
      </c>
      <c r="O43" s="29" t="s">
        <v>109</v>
      </c>
      <c r="P43" s="29">
        <v>22950</v>
      </c>
      <c r="Q43" s="29" t="s">
        <v>109</v>
      </c>
      <c r="R43" s="29">
        <v>230462</v>
      </c>
      <c r="S43" s="29" t="s">
        <v>109</v>
      </c>
    </row>
    <row r="44" spans="9:19" x14ac:dyDescent="0.35">
      <c r="I44" s="27" t="s">
        <v>131</v>
      </c>
      <c r="J44" s="30">
        <v>503566</v>
      </c>
      <c r="K44" s="30" t="s">
        <v>109</v>
      </c>
      <c r="L44" s="30">
        <v>503176</v>
      </c>
      <c r="M44" s="30" t="s">
        <v>109</v>
      </c>
      <c r="N44" s="30">
        <v>376742</v>
      </c>
      <c r="O44" s="30" t="s">
        <v>109</v>
      </c>
      <c r="P44" s="30">
        <v>13185</v>
      </c>
      <c r="Q44" s="30" t="s">
        <v>109</v>
      </c>
      <c r="R44" s="30">
        <v>113249</v>
      </c>
      <c r="S44" s="30" t="s">
        <v>109</v>
      </c>
    </row>
  </sheetData>
  <mergeCells count="6">
    <mergeCell ref="R18:S18"/>
    <mergeCell ref="E4:H4"/>
    <mergeCell ref="J18:K18"/>
    <mergeCell ref="L18:M18"/>
    <mergeCell ref="N18:O18"/>
    <mergeCell ref="P18:Q1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C62EF-1AC7-428E-AF90-CD2EF0BF8761}">
  <sheetPr>
    <tabColor rgb="FF00B050"/>
  </sheetPr>
  <dimension ref="F7:H7"/>
  <sheetViews>
    <sheetView workbookViewId="0">
      <selection activeCell="F7" sqref="F7:H7"/>
    </sheetView>
  </sheetViews>
  <sheetFormatPr defaultColWidth="9.1796875" defaultRowHeight="14.5" x14ac:dyDescent="0.35"/>
  <cols>
    <col min="1" max="16384" width="9.1796875" style="4"/>
  </cols>
  <sheetData>
    <row r="7" spans="6:8" x14ac:dyDescent="0.35">
      <c r="F7" s="16" t="s">
        <v>29</v>
      </c>
      <c r="G7" s="16"/>
      <c r="H7" s="16"/>
    </row>
  </sheetData>
  <mergeCells count="1">
    <mergeCell ref="F7:H7"/>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88A86-2D92-40BD-9C2E-E8C8AB4851E0}">
  <sheetPr>
    <tabColor theme="9" tint="0.39997558519241921"/>
  </sheetPr>
  <dimension ref="E5:H57"/>
  <sheetViews>
    <sheetView topLeftCell="A2" workbookViewId="0">
      <selection activeCell="E11" sqref="E11:H57"/>
    </sheetView>
  </sheetViews>
  <sheetFormatPr defaultColWidth="9.1796875" defaultRowHeight="14.5" x14ac:dyDescent="0.35"/>
  <cols>
    <col min="1" max="5" width="9.1796875" style="4"/>
    <col min="6" max="6" width="28.81640625" style="4" customWidth="1"/>
    <col min="7" max="7" width="10.81640625" style="4" customWidth="1"/>
    <col min="8" max="8" width="43" style="4" customWidth="1"/>
    <col min="9" max="16384" width="9.1796875" style="4"/>
  </cols>
  <sheetData>
    <row r="5" spans="5:8" x14ac:dyDescent="0.35">
      <c r="E5" s="17" t="s">
        <v>12</v>
      </c>
      <c r="F5" s="17"/>
      <c r="G5" s="17"/>
      <c r="H5" s="17"/>
    </row>
    <row r="6" spans="5:8" x14ac:dyDescent="0.35">
      <c r="E6" s="17"/>
      <c r="F6" s="17"/>
      <c r="G6" s="17"/>
      <c r="H6" s="17"/>
    </row>
    <row r="7" spans="5:8" x14ac:dyDescent="0.35">
      <c r="E7" s="17"/>
      <c r="F7" s="17"/>
      <c r="G7" s="17"/>
      <c r="H7" s="17"/>
    </row>
    <row r="8" spans="5:8" x14ac:dyDescent="0.35">
      <c r="E8" s="17"/>
      <c r="F8" s="17"/>
      <c r="G8" s="17"/>
      <c r="H8" s="17"/>
    </row>
    <row r="10" spans="5:8" x14ac:dyDescent="0.35">
      <c r="E10" s="7" t="s">
        <v>8</v>
      </c>
      <c r="F10" s="7" t="s">
        <v>9</v>
      </c>
      <c r="G10" s="7" t="s">
        <v>10</v>
      </c>
      <c r="H10" s="7" t="s">
        <v>11</v>
      </c>
    </row>
    <row r="11" spans="5:8" x14ac:dyDescent="0.35">
      <c r="E11" s="5"/>
      <c r="F11" s="5"/>
      <c r="G11" s="5"/>
      <c r="H11" s="5"/>
    </row>
    <row r="12" spans="5:8" x14ac:dyDescent="0.35">
      <c r="E12" s="5"/>
      <c r="F12" s="5"/>
      <c r="G12" s="5"/>
      <c r="H12" s="5"/>
    </row>
    <row r="13" spans="5:8" x14ac:dyDescent="0.35">
      <c r="E13" s="5"/>
      <c r="F13" s="5"/>
      <c r="G13" s="5"/>
      <c r="H13" s="5"/>
    </row>
    <row r="14" spans="5:8" x14ac:dyDescent="0.35">
      <c r="E14" s="5"/>
      <c r="F14" s="5"/>
      <c r="G14" s="5"/>
      <c r="H14" s="5"/>
    </row>
    <row r="15" spans="5:8" x14ac:dyDescent="0.35">
      <c r="E15" s="5"/>
      <c r="F15" s="5"/>
      <c r="G15" s="5"/>
      <c r="H15" s="5"/>
    </row>
    <row r="16" spans="5:8" x14ac:dyDescent="0.35">
      <c r="E16" s="5"/>
      <c r="F16" s="5"/>
      <c r="G16" s="5"/>
      <c r="H16" s="5"/>
    </row>
    <row r="17" spans="5:8" x14ac:dyDescent="0.35">
      <c r="E17" s="5"/>
      <c r="F17" s="5"/>
      <c r="G17" s="5"/>
      <c r="H17" s="5"/>
    </row>
    <row r="18" spans="5:8" x14ac:dyDescent="0.35">
      <c r="E18" s="5"/>
      <c r="F18" s="5"/>
      <c r="G18" s="5"/>
      <c r="H18" s="5"/>
    </row>
    <row r="19" spans="5:8" x14ac:dyDescent="0.35">
      <c r="E19" s="5"/>
      <c r="F19" s="5"/>
      <c r="G19" s="5"/>
      <c r="H19" s="5"/>
    </row>
    <row r="20" spans="5:8" x14ac:dyDescent="0.35">
      <c r="E20" s="5"/>
      <c r="F20" s="5"/>
      <c r="G20" s="5"/>
      <c r="H20" s="5"/>
    </row>
    <row r="21" spans="5:8" x14ac:dyDescent="0.35">
      <c r="E21" s="5"/>
      <c r="F21" s="5"/>
      <c r="G21" s="5"/>
      <c r="H21" s="5"/>
    </row>
    <row r="22" spans="5:8" x14ac:dyDescent="0.35">
      <c r="E22" s="5"/>
      <c r="F22" s="5"/>
      <c r="G22" s="5"/>
      <c r="H22" s="5"/>
    </row>
    <row r="23" spans="5:8" x14ac:dyDescent="0.35">
      <c r="E23" s="5"/>
      <c r="F23" s="5"/>
      <c r="G23" s="5"/>
      <c r="H23" s="5"/>
    </row>
    <row r="24" spans="5:8" x14ac:dyDescent="0.35">
      <c r="E24" s="5"/>
      <c r="F24" s="5"/>
      <c r="G24" s="5"/>
      <c r="H24" s="5"/>
    </row>
    <row r="25" spans="5:8" x14ac:dyDescent="0.35">
      <c r="E25" s="5"/>
      <c r="F25" s="5"/>
      <c r="G25" s="5"/>
      <c r="H25" s="5"/>
    </row>
    <row r="26" spans="5:8" x14ac:dyDescent="0.35">
      <c r="E26" s="5"/>
      <c r="F26" s="5"/>
      <c r="G26" s="5"/>
      <c r="H26" s="5"/>
    </row>
    <row r="27" spans="5:8" x14ac:dyDescent="0.35">
      <c r="E27" s="5"/>
      <c r="F27" s="5"/>
      <c r="G27" s="5"/>
      <c r="H27" s="5"/>
    </row>
    <row r="28" spans="5:8" x14ac:dyDescent="0.35">
      <c r="E28" s="5"/>
      <c r="F28" s="5"/>
      <c r="G28" s="5"/>
      <c r="H28" s="5"/>
    </row>
    <row r="29" spans="5:8" x14ac:dyDescent="0.35">
      <c r="E29" s="5"/>
      <c r="F29" s="5"/>
      <c r="G29" s="5"/>
      <c r="H29" s="5"/>
    </row>
    <row r="30" spans="5:8" x14ac:dyDescent="0.35">
      <c r="E30" s="5"/>
      <c r="F30" s="5"/>
      <c r="G30" s="5"/>
      <c r="H30" s="5"/>
    </row>
    <row r="31" spans="5:8" x14ac:dyDescent="0.35">
      <c r="E31" s="5"/>
      <c r="F31" s="5"/>
      <c r="G31" s="5"/>
      <c r="H31" s="5"/>
    </row>
    <row r="32" spans="5:8" x14ac:dyDescent="0.35">
      <c r="E32" s="5"/>
      <c r="F32" s="5"/>
      <c r="G32" s="5"/>
      <c r="H32" s="5"/>
    </row>
    <row r="33" spans="5:8" x14ac:dyDescent="0.35">
      <c r="E33" s="5"/>
      <c r="F33" s="5"/>
      <c r="G33" s="5"/>
      <c r="H33" s="5"/>
    </row>
    <row r="34" spans="5:8" x14ac:dyDescent="0.35">
      <c r="E34" s="5"/>
      <c r="F34" s="5"/>
      <c r="G34" s="5"/>
      <c r="H34" s="5"/>
    </row>
    <row r="35" spans="5:8" x14ac:dyDescent="0.35">
      <c r="E35" s="5"/>
      <c r="F35" s="5"/>
      <c r="G35" s="5"/>
      <c r="H35" s="5"/>
    </row>
    <row r="36" spans="5:8" x14ac:dyDescent="0.35">
      <c r="E36" s="5"/>
      <c r="F36" s="5"/>
      <c r="G36" s="5"/>
      <c r="H36" s="5"/>
    </row>
    <row r="37" spans="5:8" x14ac:dyDescent="0.35">
      <c r="E37" s="5"/>
      <c r="F37" s="5"/>
      <c r="G37" s="5"/>
      <c r="H37" s="5"/>
    </row>
    <row r="38" spans="5:8" x14ac:dyDescent="0.35">
      <c r="E38" s="5"/>
      <c r="F38" s="5"/>
      <c r="G38" s="5"/>
      <c r="H38" s="5"/>
    </row>
    <row r="39" spans="5:8" x14ac:dyDescent="0.35">
      <c r="E39" s="5"/>
      <c r="F39" s="5"/>
      <c r="G39" s="5"/>
      <c r="H39" s="5"/>
    </row>
    <row r="40" spans="5:8" x14ac:dyDescent="0.35">
      <c r="E40" s="5"/>
      <c r="F40" s="5"/>
      <c r="G40" s="5"/>
      <c r="H40" s="5"/>
    </row>
    <row r="41" spans="5:8" x14ac:dyDescent="0.35">
      <c r="E41" s="5"/>
      <c r="F41" s="5"/>
      <c r="G41" s="5"/>
      <c r="H41" s="5"/>
    </row>
    <row r="42" spans="5:8" x14ac:dyDescent="0.35">
      <c r="E42" s="5"/>
      <c r="F42" s="5"/>
      <c r="G42" s="5"/>
      <c r="H42" s="5"/>
    </row>
    <row r="43" spans="5:8" x14ac:dyDescent="0.35">
      <c r="E43" s="5"/>
      <c r="F43" s="5"/>
      <c r="G43" s="5"/>
      <c r="H43" s="5"/>
    </row>
    <row r="44" spans="5:8" x14ac:dyDescent="0.35">
      <c r="E44" s="5"/>
      <c r="F44" s="5"/>
      <c r="G44" s="5"/>
      <c r="H44" s="5"/>
    </row>
    <row r="45" spans="5:8" x14ac:dyDescent="0.35">
      <c r="E45" s="5"/>
      <c r="F45" s="5"/>
      <c r="G45" s="5"/>
      <c r="H45" s="5"/>
    </row>
    <row r="46" spans="5:8" x14ac:dyDescent="0.35">
      <c r="E46" s="5"/>
      <c r="F46" s="5"/>
      <c r="G46" s="5"/>
      <c r="H46" s="5"/>
    </row>
    <row r="47" spans="5:8" x14ac:dyDescent="0.35">
      <c r="E47" s="5"/>
      <c r="F47" s="5"/>
      <c r="G47" s="5"/>
      <c r="H47" s="5"/>
    </row>
    <row r="48" spans="5:8" x14ac:dyDescent="0.35">
      <c r="E48" s="5"/>
      <c r="F48" s="5"/>
      <c r="G48" s="5"/>
      <c r="H48" s="5"/>
    </row>
    <row r="49" spans="5:8" x14ac:dyDescent="0.35">
      <c r="E49" s="5"/>
      <c r="F49" s="5"/>
      <c r="G49" s="5"/>
      <c r="H49" s="5"/>
    </row>
    <row r="50" spans="5:8" x14ac:dyDescent="0.35">
      <c r="E50" s="5"/>
      <c r="F50" s="5"/>
      <c r="G50" s="5"/>
      <c r="H50" s="5"/>
    </row>
    <row r="51" spans="5:8" x14ac:dyDescent="0.35">
      <c r="E51" s="5"/>
      <c r="F51" s="5"/>
      <c r="G51" s="5"/>
      <c r="H51" s="5"/>
    </row>
    <row r="52" spans="5:8" x14ac:dyDescent="0.35">
      <c r="E52" s="5"/>
      <c r="F52" s="5"/>
      <c r="G52" s="5"/>
      <c r="H52" s="5"/>
    </row>
    <row r="53" spans="5:8" x14ac:dyDescent="0.35">
      <c r="E53" s="5"/>
      <c r="F53" s="5"/>
      <c r="G53" s="5"/>
      <c r="H53" s="5"/>
    </row>
    <row r="54" spans="5:8" x14ac:dyDescent="0.35">
      <c r="E54" s="5"/>
      <c r="F54" s="5"/>
      <c r="G54" s="5"/>
      <c r="H54" s="5"/>
    </row>
    <row r="55" spans="5:8" x14ac:dyDescent="0.35">
      <c r="E55" s="5"/>
      <c r="F55" s="5"/>
      <c r="G55" s="5"/>
      <c r="H55" s="5"/>
    </row>
    <row r="56" spans="5:8" x14ac:dyDescent="0.35">
      <c r="E56" s="5"/>
      <c r="F56" s="5"/>
      <c r="G56" s="5"/>
      <c r="H56" s="5"/>
    </row>
    <row r="57" spans="5:8" x14ac:dyDescent="0.35">
      <c r="E57" s="5"/>
      <c r="F57" s="5"/>
      <c r="G57" s="5"/>
      <c r="H57" s="5"/>
    </row>
  </sheetData>
  <mergeCells count="1">
    <mergeCell ref="E5:H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28</vt:i4>
      </vt:variant>
    </vt:vector>
  </HeadingPairs>
  <TitlesOfParts>
    <vt:vector size="36" baseType="lpstr">
      <vt:lpstr>Styles</vt:lpstr>
      <vt:lpstr>Explanations</vt:lpstr>
      <vt:lpstr>Definitions</vt:lpstr>
      <vt:lpstr>Assumptions</vt:lpstr>
      <vt:lpstr>Inputs</vt:lpstr>
      <vt:lpstr>Calculations</vt:lpstr>
      <vt:lpstr>Results</vt:lpstr>
      <vt:lpstr>Sources</vt:lpstr>
      <vt:lpstr>IC</vt:lpstr>
      <vt:lpstr>IC_for_km_coeff</vt:lpstr>
      <vt:lpstr>Kilometrage_NL</vt:lpstr>
      <vt:lpstr>Kilometrage_Provinces</vt:lpstr>
      <vt:lpstr>Kilometrage_Ratios_province</vt:lpstr>
      <vt:lpstr>Kilomterage_matrix_weight_pop</vt:lpstr>
      <vt:lpstr>NUT2_to_IC_matrix_population</vt:lpstr>
      <vt:lpstr>NUT2_to_IC_matrix_population_BE</vt:lpstr>
      <vt:lpstr>NUTS2</vt:lpstr>
      <vt:lpstr>One_dwelling_BE</vt:lpstr>
      <vt:lpstr>One_dwelling_matrix_BE</vt:lpstr>
      <vt:lpstr>One_dwelling_matrix_BE_ref_cell</vt:lpstr>
      <vt:lpstr>One_dwelling_matrix_NL</vt:lpstr>
      <vt:lpstr>One_dwelling_matrix_NL_ref_cell</vt:lpstr>
      <vt:lpstr>One_dwelling_NL</vt:lpstr>
      <vt:lpstr>Percent_one_dwelling_BE_provinces</vt:lpstr>
      <vt:lpstr>Percent_one_dwelling_NL</vt:lpstr>
      <vt:lpstr>Percent_one_dwelling_NL_provinces</vt:lpstr>
      <vt:lpstr>Percentage_NUTS_IC</vt:lpstr>
      <vt:lpstr>Percentage_NUTS_IC_BE</vt:lpstr>
      <vt:lpstr>ref_cell_by_pop</vt:lpstr>
      <vt:lpstr>ref_cell_by_pop_BE</vt:lpstr>
      <vt:lpstr>Ref_cell_km_weighted</vt:lpstr>
      <vt:lpstr>Ref_cell_proportion_by_population</vt:lpstr>
      <vt:lpstr>Residential_BE</vt:lpstr>
      <vt:lpstr>Residential_NL</vt:lpstr>
      <vt:lpstr>Weight_sum_by_pop</vt:lpstr>
      <vt:lpstr>Weight_sum_by_pop_BE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Omar Usmani</dc:creator>
  <cp:lastModifiedBy>Usmani, O.A. (Omar)</cp:lastModifiedBy>
  <cp:lastPrinted>2018-12-05T14:48:17Z</cp:lastPrinted>
  <dcterms:created xsi:type="dcterms:W3CDTF">2018-04-17T12:56:28Z</dcterms:created>
  <dcterms:modified xsi:type="dcterms:W3CDTF">2026-02-27T23:39:42Z</dcterms:modified>
</cp:coreProperties>
</file>